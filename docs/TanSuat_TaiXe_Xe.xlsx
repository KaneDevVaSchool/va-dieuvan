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66C2A6ED-8FE2-4A9C-8630-27C3C2044AE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Xếp hạng tài xế" sheetId="1" r:id="rId1"/>
    <sheet name="Tần suất xe" sheetId="2" r:id="rId2"/>
    <sheet name="Theo dõi theo tháng" sheetId="3" r:id="rId3"/>
    <sheet name="Tổng hợp xét thưởng" sheetId="4" r:id="rId4"/>
  </sheets>
  <definedNames>
    <definedName name="_xlnm.Print_Titles" localSheetId="1">'Tần suất xe'!$6:$6</definedName>
    <definedName name="_xlnm.Print_Titles" localSheetId="2">'Theo dõi theo tháng'!$6:$6</definedName>
    <definedName name="_xlnm.Print_Titles" localSheetId="3">'Tổng hợp xét thưởng'!$6:$6</definedName>
    <definedName name="_xlnm.Print_Titles" localSheetId="0">'Xếp hạng tài xế'!$6:$6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6" i="4" l="1"/>
  <c r="D16" i="4"/>
  <c r="M16" i="3"/>
  <c r="L16" i="3"/>
  <c r="K16" i="3"/>
  <c r="J16" i="3"/>
  <c r="I16" i="3"/>
  <c r="H16" i="3"/>
  <c r="G16" i="3"/>
  <c r="F16" i="3"/>
  <c r="E16" i="3"/>
  <c r="D16" i="3"/>
  <c r="C16" i="3"/>
  <c r="B16" i="3"/>
  <c r="N15" i="3"/>
  <c r="N14" i="3"/>
  <c r="N13" i="3"/>
  <c r="N12" i="3"/>
  <c r="N16" i="3" s="1"/>
  <c r="N11" i="3"/>
  <c r="N10" i="3"/>
  <c r="N9" i="3"/>
  <c r="N8" i="3"/>
  <c r="N7" i="3"/>
  <c r="H14" i="2"/>
  <c r="G14" i="2"/>
  <c r="F14" i="2"/>
  <c r="E14" i="2"/>
  <c r="J16" i="1"/>
  <c r="I16" i="1"/>
  <c r="H16" i="1"/>
  <c r="G16" i="1"/>
  <c r="F16" i="1"/>
  <c r="E16" i="1"/>
  <c r="D16" i="1"/>
</calcChain>
</file>

<file path=xl/sharedStrings.xml><?xml version="1.0" encoding="utf-8"?>
<sst xmlns="http://schemas.openxmlformats.org/spreadsheetml/2006/main" count="145" uniqueCount="91">
  <si>
    <t>BÁO CÁO TẦN SUẤT TÀI XẾ</t>
  </si>
  <si>
    <t>Hệ Thống Điều Vận Nội Bộ · Vietnam America Schools</t>
  </si>
  <si>
    <t>Kỳ báo cáo: Năm 2025   |   Ngày xuất: 05/06/2026</t>
  </si>
  <si>
    <t>Người xuất:  _______________________________</t>
  </si>
  <si>
    <t>Phê duyệt:  _______________________________</t>
  </si>
  <si>
    <t>Hạng</t>
  </si>
  <si>
    <t>Tài xế</t>
  </si>
  <si>
    <t>Mã NV</t>
  </si>
  <si>
    <t>Tổng chuyến</t>
  </si>
  <si>
    <t>Giờ lái</t>
  </si>
  <si>
    <t>TB chuyến/tháng</t>
  </si>
  <si>
    <t>Chuyến Công tác</t>
  </si>
  <si>
    <t>Chuyến D2D</t>
  </si>
  <si>
    <t>Chuyến P2P</t>
  </si>
  <si>
    <t>Chuyến Hàng hóa</t>
  </si>
  <si>
    <t>Tổng km</t>
  </si>
  <si>
    <t>Xếp loại thưởng</t>
  </si>
  <si>
    <t>Nguyễn Văn An</t>
  </si>
  <si>
    <t>TX001</t>
  </si>
  <si>
    <t>Thưởng A</t>
  </si>
  <si>
    <t>Trần Minh Đức</t>
  </si>
  <si>
    <t>TX002</t>
  </si>
  <si>
    <t>Thưởng B</t>
  </si>
  <si>
    <t>Lê Hoàng Nam</t>
  </si>
  <si>
    <t>TX003</t>
  </si>
  <si>
    <t>Phạm Văn Bình</t>
  </si>
  <si>
    <t>TX004</t>
  </si>
  <si>
    <t>Võ Thị Hương</t>
  </si>
  <si>
    <t>TX005</t>
  </si>
  <si>
    <t>Thưởng C</t>
  </si>
  <si>
    <t>Đặng Quốc Toàn</t>
  </si>
  <si>
    <t>TX006</t>
  </si>
  <si>
    <t>Hoàng Văn Tú</t>
  </si>
  <si>
    <t>TX007</t>
  </si>
  <si>
    <t>Nguyễn Thị Mai</t>
  </si>
  <si>
    <t>TX008</t>
  </si>
  <si>
    <t>Trịnh Văn Hùng</t>
  </si>
  <si>
    <t>TX009</t>
  </si>
  <si>
    <t>Không xét</t>
  </si>
  <si>
    <t>TỔNG / TB</t>
  </si>
  <si>
    <t>TẦN SUẤT SỬ DỤNG XE</t>
  </si>
  <si>
    <t>STT</t>
  </si>
  <si>
    <t>Biển số</t>
  </si>
  <si>
    <t>Loại xe</t>
  </si>
  <si>
    <t>Hãng / Model</t>
  </si>
  <si>
    <t>Giờ vận hành</t>
  </si>
  <si>
    <t>Tỷ lệ sử dụng (%)</t>
  </si>
  <si>
    <t>Trạng thái</t>
  </si>
  <si>
    <t>51A-12345</t>
  </si>
  <si>
    <t>Xe nội bộ</t>
  </si>
  <si>
    <t>Toyota Innova</t>
  </si>
  <si>
    <t>Tốt</t>
  </si>
  <si>
    <t>51B-67890</t>
  </si>
  <si>
    <t>Toyota Fortuner</t>
  </si>
  <si>
    <t>51C-11223</t>
  </si>
  <si>
    <t>Hyundai Tucson</t>
  </si>
  <si>
    <t>51D-44556</t>
  </si>
  <si>
    <t>Xe thuê</t>
  </si>
  <si>
    <t>Ford Transit</t>
  </si>
  <si>
    <t>Trung bình</t>
  </si>
  <si>
    <t>51E-77889</t>
  </si>
  <si>
    <t>Kia Carnival</t>
  </si>
  <si>
    <t>51F-22334</t>
  </si>
  <si>
    <t>Mitsubishi Xpander</t>
  </si>
  <si>
    <t>Thấp</t>
  </si>
  <si>
    <t>51G-55678</t>
  </si>
  <si>
    <t>Taxi</t>
  </si>
  <si>
    <t>Vinfast VF8</t>
  </si>
  <si>
    <t>TỔNG</t>
  </si>
  <si>
    <t>THEO DÕI CHUYẾN THEO THÁNG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</si>
  <si>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</si>
  <si>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</si>
  <si>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</si>
  <si>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</si>
  <si>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</si>
  <si>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</si>
  <si>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</si>
  <si>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</si>
  <si>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</si>
  <si>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</si>
  <si>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</si>
  <si>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</si>
  <si>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Tổng năm</t>
  </si>
  <si>
    <t>TỔNG THÁNG</t>
  </si>
  <si>
    <t>TỔNG HỢP XÉT THƯỞNG CUỐI NĂM</t>
  </si>
  <si>
    <t>Kỳ xét thưởng: Năm 2025   |   Ngày xuất: 05/06/2026   |   Căn cứ: 50% tần suất + 30% đúng giờ + 20% đa dạng chuyến</t>
  </si>
  <si>
    <t>Điểm tần suất
(50%)</t>
  </si>
  <si>
    <t>Điểm đa dạng
(20%)</t>
  </si>
  <si>
    <t>XẾP LOẠI</t>
  </si>
  <si>
    <t>GHI CHÚ</t>
  </si>
  <si>
    <t>Dưới 60 chuyến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</si>
</sst>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charset val="1"/>
    </font>
    <font>
      <b/>
      <sz val="18"/>
      <color rgb="FF9A0036"/>
      <name val="Arial"/>
      <charset val="1"/>
    </font>
    <font>
      <i/>
      <sz val="9"/>
      <color rgb="FF777777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sz val="9"/>
      <color rgb="FF3B6D11"/>
      <name val="Arial"/>
      <charset val="1"/>
    </font>
    <font>
      <sz val="9"/>
      <color rgb="FF633806"/>
      <name val="Arial"/>
      <charset val="1"/>
    </font>
    <font>
      <b/>
      <sz val="9"/>
      <color rgb="FFFFFFFF"/>
      <name val="Arial"/>
      <charset val="1"/>
    </font>
    <font>
      <b/>
      <sz val="9"/>
      <color rgb="FF3B6D11"/>
      <name val="Arial"/>
      <charset val="1"/>
    </font>
    <font>
      <b/>
      <sz val="9"/>
      <color rgb="FF633806"/>
      <name val="Arial"/>
      <charset val="1"/>
    </font>
    <font>
      <sz val="9"/>
      <color rgb="FF791F1F"/>
      <name val="Arial"/>
      <charset val="1"/>
    </font>
    <font>
      <b/>
      <sz val="9"/>
      <color rgb="FF791F1F"/>
      <name val="Arial"/>
      <charset val="1"/>
    </font>
    <font>
      <i/>
      <sz val="9"/>
      <name val="Arial"/>
      <charset val="1"/>
    </font>
    <font>
      <b/>
      <sz val="9"/>
      <color rgb="FF185FA5"/>
      <name val="Arial"/>
      <charset val="1"/>
    </font>
    <font>
      <b/>
      <sz val="9"/>
      <color rgb="FF666666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D4A019"/>
        <bgColor rgb="FFFFCC00"/>
      </patternFill>
    </fill>
    <fill>
      <patternFill patternType="solid">
        <fgColor rgb="FFFAEEDA"/>
        <bgColor rgb="FFFCEBEB"/>
      </patternFill>
    </fill>
    <fill>
      <patternFill patternType="solid">
        <fgColor rgb="FFFFFFFF"/>
        <bgColor rgb="FFF7F3F2"/>
      </patternFill>
    </fill>
    <fill>
      <patternFill patternType="solid">
        <fgColor rgb="FFEAF3DE"/>
        <bgColor rgb="FFF2F2F2"/>
      </patternFill>
    </fill>
    <fill>
      <patternFill patternType="solid">
        <fgColor rgb="FFF7F3F2"/>
        <bgColor rgb="FFF2F2F2"/>
      </patternFill>
    </fill>
    <fill>
      <patternFill patternType="solid">
        <fgColor rgb="FFE6F1FB"/>
        <bgColor rgb="FFF2F2F2"/>
      </patternFill>
    </fill>
    <fill>
      <patternFill patternType="solid">
        <fgColor rgb="FF9A0036"/>
        <bgColor rgb="FF800000"/>
      </patternFill>
    </fill>
    <fill>
      <patternFill patternType="solid">
        <fgColor rgb="FFFCEBEB"/>
        <bgColor rgb="FFFAEEDA"/>
      </patternFill>
    </fill>
    <fill>
      <patternFill patternType="solid">
        <fgColor rgb="FFF2F2F2"/>
        <bgColor rgb="FFF7F3F2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9A0036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A0036"/>
      </left>
      <right/>
      <top style="thin">
        <color rgb="FF9A0036"/>
      </top>
      <bottom style="thin">
        <color rgb="FF9A0036"/>
      </bottom>
      <diagonal/>
    </border>
    <border>
      <left style="thin">
        <color rgb="FF9A0036"/>
      </left>
      <right style="thin">
        <color rgb="FF9A0036"/>
      </right>
      <top style="thin">
        <color rgb="FF9A0036"/>
      </top>
      <bottom style="thin">
        <color rgb="FF9A0036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2" fillId="0" borderId="0" xfId="0" applyFont="1" applyAlignment="1">
      <alignment horizontal="left" vertical="center" indent="1"/>
    </xf>
    <xf numFmtId="0" fontId="7" fillId="8" borderId="3" xfId="0" applyFont="1" applyFill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0" fillId="2" borderId="0" xfId="0" applyFill="1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center" vertical="center"/>
    </xf>
    <xf numFmtId="3" fontId="3" fillId="4" borderId="2" xfId="0" applyNumberFormat="1" applyFont="1" applyFill="1" applyBorder="1" applyAlignment="1">
      <alignment horizontal="right" vertical="center"/>
    </xf>
    <xf numFmtId="164" fontId="3" fillId="4" borderId="2" xfId="0" applyNumberFormat="1" applyFont="1" applyFill="1" applyBorder="1" applyAlignment="1">
      <alignment horizontal="right" vertical="center"/>
    </xf>
    <xf numFmtId="0" fontId="3" fillId="6" borderId="2" xfId="0" applyFont="1" applyFill="1" applyBorder="1" applyAlignment="1">
      <alignment horizontal="left" vertical="center" indent="1"/>
    </xf>
    <xf numFmtId="0" fontId="3" fillId="6" borderId="2" xfId="0" applyFont="1" applyFill="1" applyBorder="1" applyAlignment="1">
      <alignment horizontal="center" vertical="center"/>
    </xf>
    <xf numFmtId="3" fontId="3" fillId="6" borderId="2" xfId="0" applyNumberFormat="1" applyFont="1" applyFill="1" applyBorder="1" applyAlignment="1">
      <alignment horizontal="right" vertical="center"/>
    </xf>
    <xf numFmtId="164" fontId="3" fillId="6" borderId="2" xfId="0" applyNumberFormat="1" applyFont="1" applyFill="1" applyBorder="1" applyAlignment="1">
      <alignment horizontal="right" vertical="center"/>
    </xf>
    <xf numFmtId="3" fontId="7" fillId="8" borderId="4" xfId="0" applyNumberFormat="1" applyFont="1" applyFill="1" applyBorder="1" applyAlignment="1">
      <alignment horizontal="right" vertical="center"/>
    </xf>
    <xf numFmtId="164" fontId="7" fillId="8" borderId="4" xfId="0" applyNumberFormat="1" applyFont="1" applyFill="1" applyBorder="1" applyAlignment="1">
      <alignment horizontal="right" vertical="center"/>
    </xf>
    <xf numFmtId="0" fontId="0" fillId="8" borderId="4" xfId="0" applyFill="1" applyBorder="1"/>
    <xf numFmtId="9" fontId="5" fillId="5" borderId="2" xfId="0" applyNumberFormat="1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9" fontId="6" fillId="3" borderId="2" xfId="0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9" fontId="10" fillId="9" borderId="2" xfId="0" applyNumberFormat="1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right" vertical="center"/>
    </xf>
    <xf numFmtId="3" fontId="7" fillId="8" borderId="4" xfId="0" applyNumberFormat="1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A0036"/>
      <rgbColor rgb="FF3B6D11"/>
      <rgbColor rgb="FF000080"/>
      <rgbColor rgb="FF808000"/>
      <rgbColor rgb="FF800080"/>
      <rgbColor rgb="FF008080"/>
      <rgbColor rgb="FFCCCCCC"/>
      <rgbColor rgb="FF777777"/>
      <rgbColor rgb="FF9999FF"/>
      <rgbColor rgb="FF993366"/>
      <rgbColor rgb="FFFAEEDA"/>
      <rgbColor rgb="FFE6F1FB"/>
      <rgbColor rgb="FF660066"/>
      <rgbColor rgb="FFFF8080"/>
      <rgbColor rgb="FF185FA5"/>
      <rgbColor rgb="FFFCEBE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AF3DE"/>
      <rgbColor rgb="FFF7F3F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A019"/>
      <rgbColor rgb="FFFF6600"/>
      <rgbColor rgb="FF666666"/>
      <rgbColor rgb="FF969696"/>
      <rgbColor rgb="FF003366"/>
      <rgbColor rgb="FF339966"/>
      <rgbColor rgb="FF003300"/>
      <rgbColor rgb="FF633806"/>
      <rgbColor rgb="FF791F1F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167040</xdr:colOff>
      <xdr:row>1</xdr:row>
      <xdr:rowOff>523440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95400"/>
          <a:ext cx="59004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167040</xdr:colOff>
      <xdr:row>1</xdr:row>
      <xdr:rowOff>523440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95400"/>
          <a:ext cx="59004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590040</xdr:colOff>
      <xdr:row>1</xdr:row>
      <xdr:rowOff>523440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95400"/>
          <a:ext cx="59004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167040</xdr:colOff>
      <xdr:row>1</xdr:row>
      <xdr:rowOff>523440</xdr:rowOff>
    </xdr:to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95400"/>
          <a:ext cx="59004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"/>
  <sheetViews>
    <sheetView showGridLines="0" tabSelected="1" zoomScaleNormal="100" workbookViewId="0">
      <selection activeCell="K1" sqref="K1:K1048576"/>
    </sheetView>
  </sheetViews>
  <sheetFormatPr defaultColWidth="8.6640625" defaultRowHeight="14.4" x14ac:dyDescent="0.3"/>
  <cols>
    <col min="1" max="1" width="6" customWidth="1"/>
    <col min="2" max="2" width="24" customWidth="1"/>
    <col min="3" max="3" width="10" customWidth="1"/>
    <col min="4" max="4" width="14" customWidth="1"/>
    <col min="5" max="5" width="10" customWidth="1"/>
    <col min="6" max="7" width="16" customWidth="1"/>
    <col min="8" max="9" width="12" customWidth="1"/>
    <col min="10" max="11" width="16" customWidth="1"/>
  </cols>
  <sheetData>
    <row r="1" spans="1:11" ht="7.5" customHeight="1" x14ac:dyDescent="0.3"/>
    <row r="2" spans="1:11" ht="49.5" customHeight="1" x14ac:dyDescent="0.3">
      <c r="C2" s="7" t="s">
        <v>0</v>
      </c>
      <c r="D2" s="7"/>
      <c r="E2" s="7"/>
      <c r="F2" s="7"/>
      <c r="G2" s="7"/>
      <c r="H2" s="7"/>
      <c r="I2" s="7"/>
      <c r="J2" s="7"/>
      <c r="K2" s="7"/>
    </row>
    <row r="3" spans="1:11" ht="15.75" customHeight="1" x14ac:dyDescent="0.3">
      <c r="C3" s="6" t="s">
        <v>1</v>
      </c>
      <c r="D3" s="6"/>
      <c r="E3" s="6"/>
      <c r="F3" s="6"/>
      <c r="G3" s="6"/>
      <c r="H3" s="6"/>
      <c r="I3" s="6"/>
      <c r="J3" s="6"/>
      <c r="K3" s="6"/>
    </row>
    <row r="4" spans="1:11" ht="4.5" customHeight="1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ht="15.75" customHeight="1" x14ac:dyDescent="0.3">
      <c r="A5" s="4" t="s">
        <v>2</v>
      </c>
      <c r="B5" s="4"/>
      <c r="C5" s="4"/>
      <c r="D5" s="4"/>
      <c r="E5" s="3" t="s">
        <v>3</v>
      </c>
      <c r="F5" s="3"/>
      <c r="G5" s="3"/>
      <c r="H5" s="3"/>
      <c r="I5" s="3"/>
      <c r="J5" s="3" t="s">
        <v>4</v>
      </c>
      <c r="K5" s="3"/>
    </row>
    <row r="6" spans="1:11" ht="25.5" customHeight="1" thickBot="1" x14ac:dyDescent="0.35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16</v>
      </c>
    </row>
    <row r="7" spans="1:11" ht="19.5" customHeight="1" x14ac:dyDescent="0.3">
      <c r="A7" s="9">
        <v>1</v>
      </c>
      <c r="B7" s="10" t="s">
        <v>17</v>
      </c>
      <c r="C7" s="11" t="s">
        <v>18</v>
      </c>
      <c r="D7" s="12">
        <v>142</v>
      </c>
      <c r="E7" s="12">
        <v>312</v>
      </c>
      <c r="F7" s="13">
        <v>11.8</v>
      </c>
      <c r="G7" s="12">
        <v>60</v>
      </c>
      <c r="H7" s="12">
        <v>40</v>
      </c>
      <c r="I7" s="12">
        <v>30</v>
      </c>
      <c r="J7" s="12">
        <v>12</v>
      </c>
    </row>
    <row r="8" spans="1:11" ht="19.5" customHeight="1" x14ac:dyDescent="0.3">
      <c r="A8" s="9">
        <v>2</v>
      </c>
      <c r="B8" s="14" t="s">
        <v>20</v>
      </c>
      <c r="C8" s="15" t="s">
        <v>21</v>
      </c>
      <c r="D8" s="16">
        <v>128</v>
      </c>
      <c r="E8" s="16">
        <v>285</v>
      </c>
      <c r="F8" s="17">
        <v>10.7</v>
      </c>
      <c r="G8" s="16">
        <v>50</v>
      </c>
      <c r="H8" s="16">
        <v>35</v>
      </c>
      <c r="I8" s="16">
        <v>28</v>
      </c>
      <c r="J8" s="16">
        <v>15</v>
      </c>
    </row>
    <row r="9" spans="1:11" ht="19.5" customHeight="1" x14ac:dyDescent="0.3">
      <c r="A9" s="9">
        <v>3</v>
      </c>
      <c r="B9" s="10" t="s">
        <v>23</v>
      </c>
      <c r="C9" s="11" t="s">
        <v>24</v>
      </c>
      <c r="D9" s="12">
        <v>115</v>
      </c>
      <c r="E9" s="12">
        <v>258</v>
      </c>
      <c r="F9" s="13">
        <v>9.6</v>
      </c>
      <c r="G9" s="12">
        <v>45</v>
      </c>
      <c r="H9" s="12">
        <v>30</v>
      </c>
      <c r="I9" s="12">
        <v>25</v>
      </c>
      <c r="J9" s="12">
        <v>15</v>
      </c>
    </row>
    <row r="10" spans="1:11" ht="19.5" customHeight="1" x14ac:dyDescent="0.3">
      <c r="A10" s="15">
        <v>4</v>
      </c>
      <c r="B10" s="14" t="s">
        <v>25</v>
      </c>
      <c r="C10" s="15" t="s">
        <v>26</v>
      </c>
      <c r="D10" s="16">
        <v>98</v>
      </c>
      <c r="E10" s="16">
        <v>220</v>
      </c>
      <c r="F10" s="17">
        <v>8.1999999999999993</v>
      </c>
      <c r="G10" s="16">
        <v>40</v>
      </c>
      <c r="H10" s="16">
        <v>28</v>
      </c>
      <c r="I10" s="16">
        <v>20</v>
      </c>
      <c r="J10" s="16">
        <v>10</v>
      </c>
    </row>
    <row r="11" spans="1:11" ht="19.5" customHeight="1" x14ac:dyDescent="0.3">
      <c r="A11" s="11">
        <v>5</v>
      </c>
      <c r="B11" s="10" t="s">
        <v>27</v>
      </c>
      <c r="C11" s="11" t="s">
        <v>28</v>
      </c>
      <c r="D11" s="12">
        <v>87</v>
      </c>
      <c r="E11" s="12">
        <v>195</v>
      </c>
      <c r="F11" s="13">
        <v>7.3</v>
      </c>
      <c r="G11" s="12">
        <v>35</v>
      </c>
      <c r="H11" s="12">
        <v>25</v>
      </c>
      <c r="I11" s="12">
        <v>18</v>
      </c>
      <c r="J11" s="12">
        <v>9</v>
      </c>
    </row>
    <row r="12" spans="1:11" ht="19.5" customHeight="1" x14ac:dyDescent="0.3">
      <c r="A12" s="15">
        <v>6</v>
      </c>
      <c r="B12" s="14" t="s">
        <v>30</v>
      </c>
      <c r="C12" s="15" t="s">
        <v>31</v>
      </c>
      <c r="D12" s="16">
        <v>79</v>
      </c>
      <c r="E12" s="16">
        <v>178</v>
      </c>
      <c r="F12" s="17">
        <v>6.6</v>
      </c>
      <c r="G12" s="16">
        <v>30</v>
      </c>
      <c r="H12" s="16">
        <v>20</v>
      </c>
      <c r="I12" s="16">
        <v>15</v>
      </c>
      <c r="J12" s="16">
        <v>14</v>
      </c>
    </row>
    <row r="13" spans="1:11" ht="19.5" customHeight="1" x14ac:dyDescent="0.3">
      <c r="A13" s="11">
        <v>7</v>
      </c>
      <c r="B13" s="10" t="s">
        <v>32</v>
      </c>
      <c r="C13" s="11" t="s">
        <v>33</v>
      </c>
      <c r="D13" s="12">
        <v>72</v>
      </c>
      <c r="E13" s="12">
        <v>162</v>
      </c>
      <c r="F13" s="13">
        <v>6</v>
      </c>
      <c r="G13" s="12">
        <v>28</v>
      </c>
      <c r="H13" s="12">
        <v>18</v>
      </c>
      <c r="I13" s="12">
        <v>14</v>
      </c>
      <c r="J13" s="12">
        <v>12</v>
      </c>
    </row>
    <row r="14" spans="1:11" ht="19.5" customHeight="1" x14ac:dyDescent="0.3">
      <c r="A14" s="15">
        <v>8</v>
      </c>
      <c r="B14" s="14" t="s">
        <v>34</v>
      </c>
      <c r="C14" s="15" t="s">
        <v>35</v>
      </c>
      <c r="D14" s="16">
        <v>68</v>
      </c>
      <c r="E14" s="16">
        <v>152</v>
      </c>
      <c r="F14" s="17">
        <v>5.7</v>
      </c>
      <c r="G14" s="16">
        <v>26</v>
      </c>
      <c r="H14" s="16">
        <v>16</v>
      </c>
      <c r="I14" s="16">
        <v>14</v>
      </c>
      <c r="J14" s="16">
        <v>12</v>
      </c>
    </row>
    <row r="15" spans="1:11" ht="19.5" customHeight="1" x14ac:dyDescent="0.3">
      <c r="A15" s="11">
        <v>9</v>
      </c>
      <c r="B15" s="10" t="s">
        <v>36</v>
      </c>
      <c r="C15" s="11" t="s">
        <v>37</v>
      </c>
      <c r="D15" s="12">
        <v>58</v>
      </c>
      <c r="E15" s="12">
        <v>130</v>
      </c>
      <c r="F15" s="13">
        <v>4.8</v>
      </c>
      <c r="G15" s="12">
        <v>22</v>
      </c>
      <c r="H15" s="12">
        <v>14</v>
      </c>
      <c r="I15" s="12">
        <v>12</v>
      </c>
      <c r="J15" s="12">
        <v>10</v>
      </c>
    </row>
    <row r="16" spans="1:11" ht="21.75" customHeight="1" x14ac:dyDescent="0.3">
      <c r="A16" s="2" t="s">
        <v>39</v>
      </c>
      <c r="B16" s="2"/>
      <c r="C16" s="2"/>
      <c r="D16" s="18">
        <f>SUM(D7:D15)</f>
        <v>847</v>
      </c>
      <c r="E16" s="18">
        <f>SUM(E7:E15)</f>
        <v>1892</v>
      </c>
      <c r="F16" s="19">
        <f>AVERAGE(F7:F15)</f>
        <v>7.8555555555555543</v>
      </c>
      <c r="G16" s="18">
        <f>SUM(G7:G15)</f>
        <v>336</v>
      </c>
      <c r="H16" s="18">
        <f>SUM(H7:H15)</f>
        <v>226</v>
      </c>
      <c r="I16" s="18">
        <f>SUM(I7:I15)</f>
        <v>176</v>
      </c>
      <c r="J16" s="18">
        <f>SUM(J7:J15)</f>
        <v>109</v>
      </c>
      <c r="K16" s="20"/>
    </row>
  </sheetData>
  <mergeCells count="7">
    <mergeCell ref="A16:C16"/>
    <mergeCell ref="C2:K2"/>
    <mergeCell ref="C3:K3"/>
    <mergeCell ref="A4:K4"/>
    <mergeCell ref="A5:D5"/>
    <mergeCell ref="E5:I5"/>
    <mergeCell ref="J5:K5"/>
  </mergeCells>
  <pageMargins left="0.5" right="0.5" top="1" bottom="1" header="0.511811023622047" footer="0.511811023622047"/>
  <pageSetup paperSize="9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4"/>
  <sheetViews>
    <sheetView showGridLines="0" zoomScaleNormal="100" workbookViewId="0"/>
  </sheetViews>
  <sheetFormatPr defaultColWidth="8.6640625" defaultRowHeight="14.4" x14ac:dyDescent="0.3"/>
  <cols>
    <col min="1" max="1" width="6" customWidth="1"/>
    <col min="2" max="3" width="14" customWidth="1"/>
    <col min="4" max="4" width="18" customWidth="1"/>
    <col min="5" max="5" width="13" customWidth="1"/>
    <col min="6" max="6" width="12" customWidth="1"/>
    <col min="7" max="7" width="14" customWidth="1"/>
    <col min="8" max="8" width="16" customWidth="1"/>
    <col min="9" max="9" width="18" customWidth="1"/>
    <col min="10" max="10" width="14" customWidth="1"/>
  </cols>
  <sheetData>
    <row r="1" spans="1:14" ht="7.5" customHeight="1" x14ac:dyDescent="0.3"/>
    <row r="2" spans="1:14" ht="49.5" customHeight="1" x14ac:dyDescent="0.3">
      <c r="C2" s="7" t="s">
        <v>40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ht="15.75" customHeight="1" x14ac:dyDescent="0.3">
      <c r="C3" s="6" t="s">
        <v>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ht="4.5" customHeight="1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ht="15.75" customHeight="1" x14ac:dyDescent="0.3">
      <c r="A5" s="4" t="s">
        <v>2</v>
      </c>
      <c r="B5" s="4"/>
      <c r="C5" s="4"/>
      <c r="D5" s="4"/>
      <c r="E5" s="4"/>
      <c r="F5" s="4"/>
      <c r="G5" s="4"/>
      <c r="H5" s="4"/>
      <c r="I5" s="4"/>
      <c r="J5" s="4"/>
    </row>
    <row r="6" spans="1:14" ht="25.5" customHeight="1" x14ac:dyDescent="0.3">
      <c r="A6" s="8" t="s">
        <v>41</v>
      </c>
      <c r="B6" s="8" t="s">
        <v>42</v>
      </c>
      <c r="C6" s="8" t="s">
        <v>43</v>
      </c>
      <c r="D6" s="8" t="s">
        <v>44</v>
      </c>
      <c r="E6" s="8" t="s">
        <v>8</v>
      </c>
      <c r="F6" s="8" t="s">
        <v>15</v>
      </c>
      <c r="G6" s="8" t="s">
        <v>45</v>
      </c>
      <c r="H6" s="8" t="s">
        <v>10</v>
      </c>
      <c r="I6" s="8" t="s">
        <v>46</v>
      </c>
      <c r="J6" s="8" t="s">
        <v>47</v>
      </c>
    </row>
    <row r="7" spans="1:14" ht="19.5" customHeight="1" x14ac:dyDescent="0.3">
      <c r="A7" s="11">
        <v>1</v>
      </c>
      <c r="B7" s="10" t="s">
        <v>48</v>
      </c>
      <c r="C7" s="10" t="s">
        <v>49</v>
      </c>
      <c r="D7" s="10" t="s">
        <v>50</v>
      </c>
      <c r="E7" s="12">
        <v>198</v>
      </c>
      <c r="F7" s="12">
        <v>5940</v>
      </c>
      <c r="G7" s="12">
        <v>440</v>
      </c>
      <c r="H7" s="13">
        <v>16.5</v>
      </c>
      <c r="I7" s="21">
        <v>0.92</v>
      </c>
      <c r="J7" s="22" t="s">
        <v>51</v>
      </c>
    </row>
    <row r="8" spans="1:14" ht="19.5" customHeight="1" x14ac:dyDescent="0.3">
      <c r="A8" s="15">
        <v>2</v>
      </c>
      <c r="B8" s="14" t="s">
        <v>52</v>
      </c>
      <c r="C8" s="14" t="s">
        <v>49</v>
      </c>
      <c r="D8" s="14" t="s">
        <v>53</v>
      </c>
      <c r="E8" s="16">
        <v>176</v>
      </c>
      <c r="F8" s="16">
        <v>5280</v>
      </c>
      <c r="G8" s="16">
        <v>392</v>
      </c>
      <c r="H8" s="17">
        <v>14.7</v>
      </c>
      <c r="I8" s="21">
        <v>0.88</v>
      </c>
      <c r="J8" s="22" t="s">
        <v>51</v>
      </c>
    </row>
    <row r="9" spans="1:14" ht="19.5" customHeight="1" x14ac:dyDescent="0.3">
      <c r="A9" s="11">
        <v>3</v>
      </c>
      <c r="B9" s="10" t="s">
        <v>54</v>
      </c>
      <c r="C9" s="10" t="s">
        <v>49</v>
      </c>
      <c r="D9" s="10" t="s">
        <v>55</v>
      </c>
      <c r="E9" s="12">
        <v>154</v>
      </c>
      <c r="F9" s="12">
        <v>4620</v>
      </c>
      <c r="G9" s="12">
        <v>343</v>
      </c>
      <c r="H9" s="13">
        <v>12.8</v>
      </c>
      <c r="I9" s="21">
        <v>0.82</v>
      </c>
      <c r="J9" s="22" t="s">
        <v>51</v>
      </c>
    </row>
    <row r="10" spans="1:14" ht="19.5" customHeight="1" x14ac:dyDescent="0.3">
      <c r="A10" s="15">
        <v>4</v>
      </c>
      <c r="B10" s="14" t="s">
        <v>56</v>
      </c>
      <c r="C10" s="14" t="s">
        <v>57</v>
      </c>
      <c r="D10" s="14" t="s">
        <v>58</v>
      </c>
      <c r="E10" s="16">
        <v>132</v>
      </c>
      <c r="F10" s="16">
        <v>3960</v>
      </c>
      <c r="G10" s="16">
        <v>294</v>
      </c>
      <c r="H10" s="17">
        <v>11</v>
      </c>
      <c r="I10" s="23">
        <v>0.75</v>
      </c>
      <c r="J10" s="24" t="s">
        <v>59</v>
      </c>
    </row>
    <row r="11" spans="1:14" ht="19.5" customHeight="1" x14ac:dyDescent="0.3">
      <c r="A11" s="11">
        <v>5</v>
      </c>
      <c r="B11" s="10" t="s">
        <v>60</v>
      </c>
      <c r="C11" s="10" t="s">
        <v>49</v>
      </c>
      <c r="D11" s="10" t="s">
        <v>61</v>
      </c>
      <c r="E11" s="12">
        <v>98</v>
      </c>
      <c r="F11" s="12">
        <v>2940</v>
      </c>
      <c r="G11" s="12">
        <v>218</v>
      </c>
      <c r="H11" s="13">
        <v>8.1999999999999993</v>
      </c>
      <c r="I11" s="23">
        <v>0.68</v>
      </c>
      <c r="J11" s="24" t="s">
        <v>59</v>
      </c>
    </row>
    <row r="12" spans="1:14" ht="19.5" customHeight="1" x14ac:dyDescent="0.3">
      <c r="A12" s="15">
        <v>6</v>
      </c>
      <c r="B12" s="14" t="s">
        <v>62</v>
      </c>
      <c r="C12" s="14" t="s">
        <v>57</v>
      </c>
      <c r="D12" s="14" t="s">
        <v>63</v>
      </c>
      <c r="E12" s="16">
        <v>61</v>
      </c>
      <c r="F12" s="16">
        <v>1830</v>
      </c>
      <c r="G12" s="16">
        <v>136</v>
      </c>
      <c r="H12" s="17">
        <v>5.0999999999999996</v>
      </c>
      <c r="I12" s="25">
        <v>0.45</v>
      </c>
      <c r="J12" s="26" t="s">
        <v>64</v>
      </c>
    </row>
    <row r="13" spans="1:14" ht="19.5" customHeight="1" x14ac:dyDescent="0.3">
      <c r="A13" s="11">
        <v>7</v>
      </c>
      <c r="B13" s="10" t="s">
        <v>65</v>
      </c>
      <c r="C13" s="10" t="s">
        <v>66</v>
      </c>
      <c r="D13" s="10" t="s">
        <v>67</v>
      </c>
      <c r="E13" s="12">
        <v>28</v>
      </c>
      <c r="F13" s="12">
        <v>840</v>
      </c>
      <c r="G13" s="12">
        <v>62</v>
      </c>
      <c r="H13" s="13">
        <v>2.2999999999999998</v>
      </c>
      <c r="I13" s="25">
        <v>0.3</v>
      </c>
      <c r="J13" s="26" t="s">
        <v>64</v>
      </c>
    </row>
    <row r="14" spans="1:14" ht="21.75" customHeight="1" x14ac:dyDescent="0.3">
      <c r="A14" s="2" t="s">
        <v>68</v>
      </c>
      <c r="B14" s="2"/>
      <c r="C14" s="2"/>
      <c r="D14" s="2"/>
      <c r="E14" s="18">
        <f>SUM(E7:E13)</f>
        <v>847</v>
      </c>
      <c r="F14" s="18">
        <f>SUM(F7:F13)</f>
        <v>25410</v>
      </c>
      <c r="G14" s="18">
        <f>SUM(G7:G13)</f>
        <v>1885</v>
      </c>
      <c r="H14" s="19">
        <f>AVERAGE(H7:H13)</f>
        <v>10.085714285714285</v>
      </c>
      <c r="I14" s="20"/>
      <c r="J14" s="20"/>
    </row>
  </sheetData>
  <mergeCells count="5">
    <mergeCell ref="C2:N2"/>
    <mergeCell ref="C3:N3"/>
    <mergeCell ref="A4:N4"/>
    <mergeCell ref="A5:J5"/>
    <mergeCell ref="A14:D14"/>
  </mergeCells>
  <pageMargins left="0.5" right="0.5" top="1" bottom="1" header="0.511811023622047" footer="0.511811023622047"/>
  <pageSetup paperSize="9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6"/>
  <sheetViews>
    <sheetView showGridLines="0" zoomScaleNormal="100" workbookViewId="0"/>
  </sheetViews>
  <sheetFormatPr defaultColWidth="8.6640625" defaultRowHeight="14.4" x14ac:dyDescent="0.3"/>
  <cols>
    <col min="1" max="1" width="24" customWidth="1"/>
    <col min="2" max="14" width="10" customWidth="1"/>
  </cols>
  <sheetData>
    <row r="1" spans="1:14" ht="7.5" customHeight="1" x14ac:dyDescent="0.3"/>
    <row r="2" spans="1:14" ht="49.5" customHeight="1" x14ac:dyDescent="0.3">
      <c r="C2" s="7" t="s">
        <v>69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ht="15.75" customHeight="1" x14ac:dyDescent="0.3">
      <c r="C3" s="6" t="s">
        <v>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ht="4.5" customHeight="1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ht="15.75" customHeight="1" x14ac:dyDescent="0.3">
      <c r="A5" s="4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ht="25.5" customHeight="1" x14ac:dyDescent="0.3">
      <c r="A6" s="8" t="s">
        <v>6</v>
      </c>
      <c r="B6" s="8" t="s">
        <v>70</v>
      </c>
      <c r="C6" s="8" t="s">
        <v>71</v>
      </c>
      <c r="D6" s="8" t="s">
        <v>72</v>
      </c>
      <c r="E6" s="8" t="s">
        <v>73</v>
      </c>
      <c r="F6" s="8" t="s">
        <v>74</v>
      </c>
      <c r="G6" s="8" t="s">
        <v>75</v>
      </c>
      <c r="H6" s="8" t="s">
        <v>76</v>
      </c>
      <c r="I6" s="8" t="s">
        <v>77</v>
      </c>
      <c r="J6" s="8" t="s">
        <v>78</v>
      </c>
      <c r="K6" s="8" t="s">
        <v>79</v>
      </c>
      <c r="L6" s="8" t="s">
        <v>80</v>
      </c>
      <c r="M6" s="8" t="s">
        <v>81</v>
      </c>
      <c r="N6" s="8" t="s">
        <v>82</v>
      </c>
    </row>
    <row r="7" spans="1:14" ht="19.5" customHeight="1" x14ac:dyDescent="0.3">
      <c r="A7" s="10" t="s">
        <v>17</v>
      </c>
      <c r="B7" s="27">
        <v>14</v>
      </c>
      <c r="C7" s="28">
        <v>11</v>
      </c>
      <c r="D7" s="27">
        <v>13</v>
      </c>
      <c r="E7" s="27">
        <v>12</v>
      </c>
      <c r="F7" s="27">
        <v>13</v>
      </c>
      <c r="G7" s="28">
        <v>11</v>
      </c>
      <c r="H7" s="27">
        <v>12</v>
      </c>
      <c r="I7" s="27">
        <v>13</v>
      </c>
      <c r="J7" s="27">
        <v>12</v>
      </c>
      <c r="K7" s="27">
        <v>14</v>
      </c>
      <c r="L7" s="28">
        <v>11</v>
      </c>
      <c r="M7" s="27">
        <v>16</v>
      </c>
      <c r="N7" s="29">
        <f t="shared" ref="N7:N15" si="0">SUM(B7:M7)</f>
        <v>152</v>
      </c>
    </row>
    <row r="8" spans="1:14" ht="19.5" customHeight="1" x14ac:dyDescent="0.3">
      <c r="A8" s="14" t="s">
        <v>20</v>
      </c>
      <c r="B8" s="27">
        <v>12</v>
      </c>
      <c r="C8" s="28">
        <v>10</v>
      </c>
      <c r="D8" s="28">
        <v>11</v>
      </c>
      <c r="E8" s="28">
        <v>11</v>
      </c>
      <c r="F8" s="27">
        <v>12</v>
      </c>
      <c r="G8" s="28">
        <v>10</v>
      </c>
      <c r="H8" s="28">
        <v>11</v>
      </c>
      <c r="I8" s="27">
        <v>12</v>
      </c>
      <c r="J8" s="28">
        <v>11</v>
      </c>
      <c r="K8" s="27">
        <v>12</v>
      </c>
      <c r="L8" s="28">
        <v>10</v>
      </c>
      <c r="M8" s="27">
        <v>14</v>
      </c>
      <c r="N8" s="29">
        <f t="shared" si="0"/>
        <v>136</v>
      </c>
    </row>
    <row r="9" spans="1:14" ht="19.5" customHeight="1" x14ac:dyDescent="0.3">
      <c r="A9" s="10" t="s">
        <v>23</v>
      </c>
      <c r="B9" s="28">
        <v>10</v>
      </c>
      <c r="C9" s="28">
        <v>9</v>
      </c>
      <c r="D9" s="28">
        <v>10</v>
      </c>
      <c r="E9" s="28">
        <v>10</v>
      </c>
      <c r="F9" s="28">
        <v>10</v>
      </c>
      <c r="G9" s="28">
        <v>9</v>
      </c>
      <c r="H9" s="28">
        <v>10</v>
      </c>
      <c r="I9" s="28">
        <v>10</v>
      </c>
      <c r="J9" s="28">
        <v>9</v>
      </c>
      <c r="K9" s="28">
        <v>11</v>
      </c>
      <c r="L9" s="28">
        <v>9</v>
      </c>
      <c r="M9" s="15">
        <v>8</v>
      </c>
      <c r="N9" s="29">
        <f t="shared" si="0"/>
        <v>115</v>
      </c>
    </row>
    <row r="10" spans="1:14" ht="19.5" customHeight="1" x14ac:dyDescent="0.3">
      <c r="A10" s="14" t="s">
        <v>25</v>
      </c>
      <c r="B10" s="28">
        <v>9</v>
      </c>
      <c r="C10" s="15">
        <v>8</v>
      </c>
      <c r="D10" s="15">
        <v>8</v>
      </c>
      <c r="E10" s="15">
        <v>8</v>
      </c>
      <c r="F10" s="28">
        <v>9</v>
      </c>
      <c r="G10" s="15">
        <v>8</v>
      </c>
      <c r="H10" s="15">
        <v>8</v>
      </c>
      <c r="I10" s="28">
        <v>9</v>
      </c>
      <c r="J10" s="15">
        <v>8</v>
      </c>
      <c r="K10" s="28">
        <v>9</v>
      </c>
      <c r="L10" s="15">
        <v>8</v>
      </c>
      <c r="M10" s="15">
        <v>6</v>
      </c>
      <c r="N10" s="29">
        <f t="shared" si="0"/>
        <v>98</v>
      </c>
    </row>
    <row r="11" spans="1:14" ht="19.5" customHeight="1" x14ac:dyDescent="0.3">
      <c r="A11" s="10" t="s">
        <v>27</v>
      </c>
      <c r="B11" s="15">
        <v>8</v>
      </c>
      <c r="C11" s="15">
        <v>7</v>
      </c>
      <c r="D11" s="15">
        <v>7</v>
      </c>
      <c r="E11" s="15">
        <v>8</v>
      </c>
      <c r="F11" s="15">
        <v>7</v>
      </c>
      <c r="G11" s="15">
        <v>7</v>
      </c>
      <c r="H11" s="15">
        <v>8</v>
      </c>
      <c r="I11" s="15">
        <v>7</v>
      </c>
      <c r="J11" s="15">
        <v>7</v>
      </c>
      <c r="K11" s="15">
        <v>8</v>
      </c>
      <c r="L11" s="15">
        <v>7</v>
      </c>
      <c r="M11" s="15">
        <v>6</v>
      </c>
      <c r="N11" s="29">
        <f t="shared" si="0"/>
        <v>87</v>
      </c>
    </row>
    <row r="12" spans="1:14" ht="19.5" customHeight="1" x14ac:dyDescent="0.3">
      <c r="A12" s="14" t="s">
        <v>30</v>
      </c>
      <c r="B12" s="15">
        <v>7</v>
      </c>
      <c r="C12" s="15">
        <v>6</v>
      </c>
      <c r="D12" s="15">
        <v>7</v>
      </c>
      <c r="E12" s="15">
        <v>7</v>
      </c>
      <c r="F12" s="15">
        <v>7</v>
      </c>
      <c r="G12" s="15">
        <v>6</v>
      </c>
      <c r="H12" s="15">
        <v>7</v>
      </c>
      <c r="I12" s="15">
        <v>6</v>
      </c>
      <c r="J12" s="15">
        <v>6</v>
      </c>
      <c r="K12" s="15">
        <v>7</v>
      </c>
      <c r="L12" s="15">
        <v>6</v>
      </c>
      <c r="M12" s="15">
        <v>5</v>
      </c>
      <c r="N12" s="29">
        <f t="shared" si="0"/>
        <v>77</v>
      </c>
    </row>
    <row r="13" spans="1:14" ht="19.5" customHeight="1" x14ac:dyDescent="0.3">
      <c r="A13" s="10" t="s">
        <v>32</v>
      </c>
      <c r="B13" s="15">
        <v>6</v>
      </c>
      <c r="C13" s="15">
        <v>5</v>
      </c>
      <c r="D13" s="15">
        <v>6</v>
      </c>
      <c r="E13" s="15">
        <v>6</v>
      </c>
      <c r="F13" s="15">
        <v>6</v>
      </c>
      <c r="G13" s="15">
        <v>6</v>
      </c>
      <c r="H13" s="15">
        <v>7</v>
      </c>
      <c r="I13" s="15">
        <v>6</v>
      </c>
      <c r="J13" s="15">
        <v>6</v>
      </c>
      <c r="K13" s="15">
        <v>6</v>
      </c>
      <c r="L13" s="15">
        <v>5</v>
      </c>
      <c r="M13" s="15">
        <v>3</v>
      </c>
      <c r="N13" s="29">
        <f t="shared" si="0"/>
        <v>68</v>
      </c>
    </row>
    <row r="14" spans="1:14" ht="19.5" customHeight="1" x14ac:dyDescent="0.3">
      <c r="A14" s="14" t="s">
        <v>34</v>
      </c>
      <c r="B14" s="15">
        <v>6</v>
      </c>
      <c r="C14" s="15">
        <v>5</v>
      </c>
      <c r="D14" s="15">
        <v>5</v>
      </c>
      <c r="E14" s="15">
        <v>6</v>
      </c>
      <c r="F14" s="15">
        <v>6</v>
      </c>
      <c r="G14" s="15">
        <v>5</v>
      </c>
      <c r="H14" s="15">
        <v>6</v>
      </c>
      <c r="I14" s="15">
        <v>5</v>
      </c>
      <c r="J14" s="15">
        <v>6</v>
      </c>
      <c r="K14" s="15">
        <v>6</v>
      </c>
      <c r="L14" s="15">
        <v>5</v>
      </c>
      <c r="M14" s="15">
        <v>1</v>
      </c>
      <c r="N14" s="29">
        <f t="shared" si="0"/>
        <v>62</v>
      </c>
    </row>
    <row r="15" spans="1:14" ht="19.5" customHeight="1" x14ac:dyDescent="0.3">
      <c r="A15" s="10" t="s">
        <v>36</v>
      </c>
      <c r="B15" s="15">
        <v>5</v>
      </c>
      <c r="C15" s="15">
        <v>4</v>
      </c>
      <c r="D15" s="15">
        <v>5</v>
      </c>
      <c r="E15" s="15">
        <v>5</v>
      </c>
      <c r="F15" s="15">
        <v>5</v>
      </c>
      <c r="G15" s="15">
        <v>5</v>
      </c>
      <c r="H15" s="15">
        <v>5</v>
      </c>
      <c r="I15" s="15">
        <v>5</v>
      </c>
      <c r="J15" s="15">
        <v>4</v>
      </c>
      <c r="K15" s="15">
        <v>5</v>
      </c>
      <c r="L15" s="15">
        <v>5</v>
      </c>
      <c r="M15" s="15">
        <v>0</v>
      </c>
      <c r="N15" s="29">
        <f t="shared" si="0"/>
        <v>53</v>
      </c>
    </row>
    <row r="16" spans="1:14" ht="21.75" customHeight="1" x14ac:dyDescent="0.3">
      <c r="A16" s="30" t="s">
        <v>83</v>
      </c>
      <c r="B16" s="31">
        <f t="shared" ref="B16:N16" si="1">SUM(B7:B15)</f>
        <v>77</v>
      </c>
      <c r="C16" s="31">
        <f t="shared" si="1"/>
        <v>65</v>
      </c>
      <c r="D16" s="31">
        <f t="shared" si="1"/>
        <v>72</v>
      </c>
      <c r="E16" s="31">
        <f t="shared" si="1"/>
        <v>73</v>
      </c>
      <c r="F16" s="31">
        <f t="shared" si="1"/>
        <v>75</v>
      </c>
      <c r="G16" s="31">
        <f t="shared" si="1"/>
        <v>67</v>
      </c>
      <c r="H16" s="31">
        <f t="shared" si="1"/>
        <v>74</v>
      </c>
      <c r="I16" s="31">
        <f t="shared" si="1"/>
        <v>73</v>
      </c>
      <c r="J16" s="31">
        <f t="shared" si="1"/>
        <v>69</v>
      </c>
      <c r="K16" s="31">
        <f t="shared" si="1"/>
        <v>78</v>
      </c>
      <c r="L16" s="31">
        <f t="shared" si="1"/>
        <v>66</v>
      </c>
      <c r="M16" s="31">
        <f t="shared" si="1"/>
        <v>59</v>
      </c>
      <c r="N16" s="31">
        <f t="shared" si="1"/>
        <v>848</v>
      </c>
    </row>
  </sheetData>
  <mergeCells count="4">
    <mergeCell ref="C2:N2"/>
    <mergeCell ref="C3:N3"/>
    <mergeCell ref="A4:N4"/>
    <mergeCell ref="A5:N5"/>
  </mergeCells>
  <pageMargins left="0.5" right="0.5" top="1" bottom="1" header="0.511811023622047" footer="0.511811023622047"/>
  <pageSetup paperSize="9"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16"/>
  <sheetViews>
    <sheetView showGridLines="0" zoomScaleNormal="100" workbookViewId="0">
      <selection activeCell="G1" sqref="G1:G1048576"/>
    </sheetView>
  </sheetViews>
  <sheetFormatPr defaultColWidth="8.6640625" defaultRowHeight="14.4" x14ac:dyDescent="0.3"/>
  <cols>
    <col min="1" max="1" width="6" customWidth="1"/>
    <col min="2" max="2" width="24" customWidth="1"/>
    <col min="3" max="3" width="10" customWidth="1"/>
    <col min="4" max="4" width="13" customWidth="1"/>
    <col min="5" max="5" width="10" customWidth="1"/>
    <col min="6" max="8" width="14" customWidth="1"/>
    <col min="9" max="9" width="20" customWidth="1"/>
  </cols>
  <sheetData>
    <row r="1" spans="1:11" ht="7.5" customHeight="1" x14ac:dyDescent="0.3"/>
    <row r="2" spans="1:11" ht="49.5" customHeight="1" x14ac:dyDescent="0.3">
      <c r="C2" s="7" t="s">
        <v>84</v>
      </c>
      <c r="D2" s="7"/>
      <c r="E2" s="7"/>
      <c r="F2" s="7"/>
      <c r="G2" s="7"/>
      <c r="H2" s="7"/>
      <c r="I2" s="7"/>
      <c r="J2" s="7"/>
      <c r="K2" s="7"/>
    </row>
    <row r="3" spans="1:11" ht="15.75" customHeight="1" x14ac:dyDescent="0.3">
      <c r="C3" s="6" t="s">
        <v>1</v>
      </c>
      <c r="D3" s="6"/>
      <c r="E3" s="6"/>
      <c r="F3" s="6"/>
      <c r="G3" s="6"/>
      <c r="H3" s="6"/>
      <c r="I3" s="6"/>
      <c r="J3" s="6"/>
      <c r="K3" s="6"/>
    </row>
    <row r="4" spans="1:11" ht="4.5" customHeight="1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ht="15.75" customHeight="1" x14ac:dyDescent="0.3">
      <c r="A5" s="1" t="s">
        <v>85</v>
      </c>
      <c r="B5" s="1"/>
      <c r="C5" s="1"/>
      <c r="D5" s="1"/>
      <c r="E5" s="1"/>
      <c r="F5" s="1"/>
      <c r="G5" s="1"/>
      <c r="H5" s="1"/>
      <c r="I5" s="1"/>
    </row>
    <row r="6" spans="1:11" ht="30" customHeight="1" x14ac:dyDescent="0.3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86</v>
      </c>
      <c r="G6" s="8" t="s">
        <v>87</v>
      </c>
      <c r="H6" s="8" t="s">
        <v>88</v>
      </c>
      <c r="I6" s="8" t="s">
        <v>89</v>
      </c>
    </row>
    <row r="7" spans="1:11" ht="19.5" customHeight="1" x14ac:dyDescent="0.3">
      <c r="A7" s="9">
        <v>1</v>
      </c>
      <c r="B7" s="10" t="s">
        <v>17</v>
      </c>
      <c r="C7" s="11" t="s">
        <v>18</v>
      </c>
      <c r="D7" s="12">
        <v>142</v>
      </c>
      <c r="E7" s="12">
        <v>312</v>
      </c>
      <c r="F7" s="12">
        <v>47</v>
      </c>
      <c r="G7" s="12">
        <v>18</v>
      </c>
      <c r="H7" s="24" t="s">
        <v>19</v>
      </c>
      <c r="I7" s="10"/>
    </row>
    <row r="8" spans="1:11" ht="19.5" customHeight="1" x14ac:dyDescent="0.3">
      <c r="A8" s="9">
        <v>2</v>
      </c>
      <c r="B8" s="14" t="s">
        <v>20</v>
      </c>
      <c r="C8" s="15" t="s">
        <v>21</v>
      </c>
      <c r="D8" s="16">
        <v>128</v>
      </c>
      <c r="E8" s="16">
        <v>285</v>
      </c>
      <c r="F8" s="16">
        <v>45</v>
      </c>
      <c r="G8" s="16">
        <v>15</v>
      </c>
      <c r="H8" s="22" t="s">
        <v>22</v>
      </c>
      <c r="I8" s="14"/>
    </row>
    <row r="9" spans="1:11" ht="19.5" customHeight="1" x14ac:dyDescent="0.3">
      <c r="A9" s="9">
        <v>3</v>
      </c>
      <c r="B9" s="10" t="s">
        <v>23</v>
      </c>
      <c r="C9" s="11" t="s">
        <v>24</v>
      </c>
      <c r="D9" s="12">
        <v>115</v>
      </c>
      <c r="E9" s="12">
        <v>258</v>
      </c>
      <c r="F9" s="12">
        <v>40</v>
      </c>
      <c r="G9" s="12">
        <v>16</v>
      </c>
      <c r="H9" s="22" t="s">
        <v>22</v>
      </c>
      <c r="I9" s="10"/>
    </row>
    <row r="10" spans="1:11" ht="19.5" customHeight="1" x14ac:dyDescent="0.3">
      <c r="A10" s="15">
        <v>4</v>
      </c>
      <c r="B10" s="14" t="s">
        <v>25</v>
      </c>
      <c r="C10" s="15" t="s">
        <v>26</v>
      </c>
      <c r="D10" s="16">
        <v>98</v>
      </c>
      <c r="E10" s="16">
        <v>220</v>
      </c>
      <c r="F10" s="16">
        <v>34</v>
      </c>
      <c r="G10" s="16">
        <v>15</v>
      </c>
      <c r="H10" s="22" t="s">
        <v>22</v>
      </c>
      <c r="I10" s="14"/>
    </row>
    <row r="11" spans="1:11" ht="19.5" customHeight="1" x14ac:dyDescent="0.3">
      <c r="A11" s="11">
        <v>5</v>
      </c>
      <c r="B11" s="10" t="s">
        <v>27</v>
      </c>
      <c r="C11" s="11" t="s">
        <v>28</v>
      </c>
      <c r="D11" s="12">
        <v>87</v>
      </c>
      <c r="E11" s="12">
        <v>195</v>
      </c>
      <c r="F11" s="12">
        <v>30</v>
      </c>
      <c r="G11" s="12">
        <v>15</v>
      </c>
      <c r="H11" s="32" t="s">
        <v>29</v>
      </c>
      <c r="I11" s="10"/>
    </row>
    <row r="12" spans="1:11" ht="19.5" customHeight="1" x14ac:dyDescent="0.3">
      <c r="A12" s="15">
        <v>6</v>
      </c>
      <c r="B12" s="14" t="s">
        <v>30</v>
      </c>
      <c r="C12" s="15" t="s">
        <v>31</v>
      </c>
      <c r="D12" s="16">
        <v>79</v>
      </c>
      <c r="E12" s="16">
        <v>178</v>
      </c>
      <c r="F12" s="16">
        <v>28</v>
      </c>
      <c r="G12" s="16">
        <v>13</v>
      </c>
      <c r="H12" s="32" t="s">
        <v>29</v>
      </c>
      <c r="I12" s="14"/>
    </row>
    <row r="13" spans="1:11" ht="19.5" customHeight="1" x14ac:dyDescent="0.3">
      <c r="A13" s="11">
        <v>7</v>
      </c>
      <c r="B13" s="10" t="s">
        <v>32</v>
      </c>
      <c r="C13" s="11" t="s">
        <v>33</v>
      </c>
      <c r="D13" s="12">
        <v>72</v>
      </c>
      <c r="E13" s="12">
        <v>162</v>
      </c>
      <c r="F13" s="12">
        <v>25</v>
      </c>
      <c r="G13" s="12">
        <v>11</v>
      </c>
      <c r="H13" s="32" t="s">
        <v>29</v>
      </c>
      <c r="I13" s="10"/>
    </row>
    <row r="14" spans="1:11" ht="19.5" customHeight="1" x14ac:dyDescent="0.3">
      <c r="A14" s="15">
        <v>8</v>
      </c>
      <c r="B14" s="14" t="s">
        <v>34</v>
      </c>
      <c r="C14" s="15" t="s">
        <v>35</v>
      </c>
      <c r="D14" s="16">
        <v>68</v>
      </c>
      <c r="E14" s="16">
        <v>152</v>
      </c>
      <c r="F14" s="16">
        <v>24</v>
      </c>
      <c r="G14" s="16">
        <v>8</v>
      </c>
      <c r="H14" s="32" t="s">
        <v>29</v>
      </c>
      <c r="I14" s="14"/>
    </row>
    <row r="15" spans="1:11" ht="19.5" customHeight="1" x14ac:dyDescent="0.3">
      <c r="A15" s="11">
        <v>9</v>
      </c>
      <c r="B15" s="10" t="s">
        <v>36</v>
      </c>
      <c r="C15" s="11" t="s">
        <v>37</v>
      </c>
      <c r="D15" s="12">
        <v>58</v>
      </c>
      <c r="E15" s="12">
        <v>130</v>
      </c>
      <c r="F15" s="12">
        <v>20</v>
      </c>
      <c r="G15" s="12">
        <v>6</v>
      </c>
      <c r="H15" s="33" t="s">
        <v>38</v>
      </c>
      <c r="I15" s="10" t="s">
        <v>90</v>
      </c>
    </row>
    <row r="16" spans="1:11" ht="21.75" customHeight="1" x14ac:dyDescent="0.3">
      <c r="A16" s="2" t="s">
        <v>39</v>
      </c>
      <c r="B16" s="2"/>
      <c r="C16" s="2"/>
      <c r="D16" s="18">
        <f>SUM(D7:D15)</f>
        <v>847</v>
      </c>
      <c r="E16" s="18">
        <f>SUM(E7:E15)</f>
        <v>1892</v>
      </c>
      <c r="F16" s="20"/>
      <c r="G16" s="20"/>
      <c r="H16" s="20"/>
      <c r="I16" s="20"/>
    </row>
  </sheetData>
  <mergeCells count="5">
    <mergeCell ref="C2:K2"/>
    <mergeCell ref="C3:K3"/>
    <mergeCell ref="A4:K4"/>
    <mergeCell ref="A5:I5"/>
    <mergeCell ref="A16:C16"/>
  </mergeCells>
  <pageMargins left="0.5" right="0.5" top="1" bottom="1" header="0.511811023622047" footer="0.511811023622047"/>
  <pageSetup paperSize="9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Xếp hạng tài xế</vt:lpstr>
      <vt:lpstr>Tần suất xe</vt:lpstr>
      <vt:lpstr>Theo dõi theo tháng</vt:lpstr>
      <vt:lpstr>Tổng hợp xét thưởng</vt:lpstr>
      <vt:lpstr>'Tần suất xe'!Print_Titles</vt:lpstr>
      <vt:lpstr>'Theo dõi theo tháng'!Print_Titles</vt:lpstr>
      <vt:lpstr>'Tổng hợp xét thưởng'!Print_Titles</vt:lpstr>
      <vt:lpstr>'Xếp hạng tài xế'!Print_Titles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Nguyễn Lê Thanh Kiều</cp:lastModifiedBy>
  <cp:revision>0</cp:revision>
  <dcterms:created xsi:type="dcterms:W3CDTF">2026-06-05T02:18:44Z</dcterms:created>
  <dcterms:modified xsi:type="dcterms:W3CDTF">2026-06-05T02:20:55Z</dcterms:modified>
  <dc:language>en-US</dc:language>
</cp:coreProperties>
</file>