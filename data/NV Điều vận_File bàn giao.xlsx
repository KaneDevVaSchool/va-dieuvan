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va-dieu-van\data\"/>
    </mc:Choice>
  </mc:AlternateContent>
  <xr:revisionPtr revIDLastSave="0" documentId="13_ncr:1_{3DA6626A-533C-4621-B353-8B458B3BB9BD}" xr6:coauthVersionLast="47" xr6:coauthVersionMax="47" xr10:uidLastSave="{00000000-0000-0000-0000-000000000000}"/>
  <bookViews>
    <workbookView xWindow="-28920" yWindow="-120" windowWidth="29040" windowHeight="15720" activeTab="2" xr2:uid="{00000000-000D-0000-FFFF-FFFF00000000}"/>
  </bookViews>
  <sheets>
    <sheet name="JD" sheetId="1" r:id="rId1"/>
    <sheet name="TT xe nội bộ" sheetId="2" r:id="rId2"/>
    <sheet name="TT Tài xế" sheetId="3" r:id="rId3"/>
    <sheet name="Gói dịch vụ" sheetId="4" r:id="rId4"/>
    <sheet name="Công việc theo timeline" sheetId="5" r:id="rId5"/>
    <sheet name="Tasks" sheetId="6" r:id="rId6"/>
    <sheet name="Quy trình Điều vận (Cũ)" sheetId="7" r:id="rId7"/>
    <sheet name="Quy trình Điều vận (Mới)" sheetId="8" r:id="rId8"/>
    <sheet name="Quy trình D2D" sheetId="9" r:id="rId9"/>
    <sheet name="DS NCC" sheetId="10" r:id="rId10"/>
    <sheet name="Tổng hợp File" sheetId="11" r:id="rId11"/>
  </sheets>
  <definedNames>
    <definedName name="_xlnm._FilterDatabase" localSheetId="9" hidden="1">'DS NCC'!$A$4:$H$30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0" l="1"/>
</calcChain>
</file>

<file path=xl/sharedStrings.xml><?xml version="1.0" encoding="utf-8"?>
<sst xmlns="http://schemas.openxmlformats.org/spreadsheetml/2006/main" count="793" uniqueCount="629">
  <si>
    <t>PHẦN 1: MÔ TẢ CÔNG VIỆC CHÍNH (JD)</t>
  </si>
  <si>
    <t>1. Điều phối vận hành xe:</t>
  </si>
  <si>
    <t>- Lập kế hoạch tuyến xe, điểm đón/trả học sinh theo nhu cầu thực tế.</t>
  </si>
  <si>
    <t>- Tiếp nhận đề xuất từ các phòng ban/đơn vị về nhu cầu vận chuyển hàng hóa/hành khách.</t>
  </si>
  <si>
    <t>PHẦN 2: THÔNG TIN XE TRỰC THUỘC QUẢN LÝ</t>
  </si>
  <si>
    <t>- Điều phối, phân công tài xế và giám sát viên xe theo lịch trình.</t>
  </si>
  <si>
    <t>- Giám sát việc thực hiện đúng lộ trình, thời gian, quy định an toàn.</t>
  </si>
  <si>
    <t>2. Quản lý thông tin học sinh &amp; phụ huynh:</t>
  </si>
  <si>
    <t>- Tiếp nhận, cập nhật và quản lý danh sách học sinh sử dụng dịch vụ xe.</t>
  </si>
  <si>
    <t>- Phối hợp với bộ phận Tư vấn để điều chỉnh lịch trình.</t>
  </si>
  <si>
    <t>- Giải quyết kịp thời phản hồi, sự cố phát sinh trong quá trình đưa đón.</t>
  </si>
  <si>
    <t>3, Quản lý chi phí &amp; hợp đồng vận tải:</t>
  </si>
  <si>
    <t>- Theo dõi và kiểm soát chi phí vận hành, nhiên liệu, thuê xe.</t>
  </si>
  <si>
    <t>STT</t>
  </si>
  <si>
    <t>- Làm việc với nhà cung cấp dịch vụ vận tải/đơn vị tài xế.</t>
  </si>
  <si>
    <t>- Đề xuất giải pháp tối ưu chi phí, nâng cao hiệu quả sử dụng xe.</t>
  </si>
  <si>
    <t>- Hoàn thiện hồ sơ thanh toán liên quan đến Bộ phận Điều vận.</t>
  </si>
  <si>
    <t>4. Quản lý vận hành &amp; rủi ro:</t>
  </si>
  <si>
    <t>- Xây dựng quy trình vận hành, hướng dẫn cho tài xế và giám sát viên.</t>
  </si>
  <si>
    <t>- Lên kế hoạch giám sát định kỳ đối với đội xe nội bộ và NCC ngoài.</t>
  </si>
  <si>
    <t>5. Hỗ trợ hoạch định &amp; phát triển hệ thống:</t>
  </si>
  <si>
    <t>- Tham gia xây dựng kế hoạch kinh doanh, chiến lược phát triển dịch vụ xe trường học.</t>
  </si>
  <si>
    <t>- Hỗ trợ Trưởng Đơn vị các công tác được phân công</t>
  </si>
  <si>
    <t>BKS</t>
  </si>
  <si>
    <t>Loại xe</t>
  </si>
  <si>
    <t>Tên chủ xe</t>
  </si>
  <si>
    <t>Số khung / Số máy</t>
  </si>
  <si>
    <t>Năm sản xuất</t>
  </si>
  <si>
    <t>Họ và tên</t>
  </si>
  <si>
    <t xml:space="preserve">Năm mua xe </t>
  </si>
  <si>
    <t>Mã NV</t>
  </si>
  <si>
    <t>Niên hạn sử dụng</t>
  </si>
  <si>
    <t>SĐT</t>
  </si>
  <si>
    <t>Số chỗ/ trọng tải</t>
  </si>
  <si>
    <t>Bảo hiểm</t>
  </si>
  <si>
    <t>Số CCCD</t>
  </si>
  <si>
    <t>Số GPLX</t>
  </si>
  <si>
    <t>Thời hạn bảo hiểm</t>
  </si>
  <si>
    <t>Ngày hết hạn GPLX</t>
  </si>
  <si>
    <t>Hạng GPLX</t>
  </si>
  <si>
    <t>Ngày sinh</t>
  </si>
  <si>
    <t>ĐĂNG KIỂM</t>
  </si>
  <si>
    <t>Giấy tờ tùy thân</t>
  </si>
  <si>
    <t>PHẦN 3: TỔNG QUAN 04 GÓI DỊCH VỤ</t>
  </si>
  <si>
    <t>BẢO DƯỠNG</t>
  </si>
  <si>
    <t>Cà vẹt xe</t>
  </si>
  <si>
    <t>Đỗ Mạnh Hùng</t>
  </si>
  <si>
    <t>Bảo hiểm xe
(update 2026.08.06)</t>
  </si>
  <si>
    <t>Chứng nhận kiểm định (Đăng kiểm)
(update 2026.07.28)</t>
  </si>
  <si>
    <t>VA010006</t>
  </si>
  <si>
    <t>Hợp đồng thuê xe</t>
  </si>
  <si>
    <t>0938220438</t>
  </si>
  <si>
    <t>Ghi chú</t>
  </si>
  <si>
    <t>015074000156</t>
  </si>
  <si>
    <t>790969001304</t>
  </si>
  <si>
    <t>Thông tin Tài xế</t>
  </si>
  <si>
    <t>Gói Dịch vụ</t>
  </si>
  <si>
    <t>Đối tượng &amp; Đặc điểm</t>
  </si>
  <si>
    <t>Nguồn xe (Resource)</t>
  </si>
  <si>
    <t>Đối tượng làm việc chính</t>
  </si>
  <si>
    <t>Vai trò của NV Điều vận</t>
  </si>
  <si>
    <t>Chứng từ cần kiểm soát</t>
  </si>
  <si>
    <t>D</t>
  </si>
  <si>
    <t>File liên quan</t>
  </si>
  <si>
    <t>Dữ liệu phần mềm</t>
  </si>
  <si>
    <t>https://drive.google.com/drive/folders/1W5B-jA5sfIUpq4SgxzzMnnscTDd1n8cZ?usp=drive_link</t>
  </si>
  <si>
    <t>Form mẫu</t>
  </si>
  <si>
    <t>Hạn đăng kiểm</t>
  </si>
  <si>
    <t>1. Door-to-Door</t>
  </si>
  <si>
    <t>Thời gian ĐK</t>
  </si>
  <si>
    <t>Lần BTBD gần nhất</t>
  </si>
  <si>
    <t>Bảo dưỡng</t>
  </si>
  <si>
    <t>Đưa đón học sinh (HS) từ nhà đến trường. Nhóm HS cũ, có chính sách ưu đãi.</t>
  </si>
  <si>
    <t>Tài xế phụ trách</t>
  </si>
  <si>
    <t>100% Outsource (SBS)</t>
  </si>
  <si>
    <t>SĐT TX</t>
  </si>
  <si>
    <t>Phụ huynh, Tài xế, Bảo mẫu, Bộ phận Tư vấn Phòng Kinh doanh.</t>
  </si>
  <si>
    <t>Trung gian giám sát an toàn; Theo dõi công nợ &amp; Tính toán bù chi phí vận hành tuyến.</t>
  </si>
  <si>
    <t>Bảng kê NCC, Danh sách HS, Báo cáo bù chi phí.</t>
  </si>
  <si>
    <t>51A 796.68</t>
  </si>
  <si>
    <t xml:space="preserve">Profile SBS: HỒ SƠ VA SCHOOLS - SBS NĂM HỌC 2025-2026
Drive dữ liệu: [SBS] DOOR-TO-DOOR
Bảng kê SBS: VA Vận hành_Bảng kê TT 08-12.2025.xlsx
Danh sách học sinh: [SBS] Danh sách xe đưa đón thu phí VA Schools (Xe 5-6-7)
Lộ trình tuyến: Lộ trình xe đưa đón học sinh 2025 -2026 _ VA Schools - SBS 
Chính sách xe: [Door-to-door] Chính sách xe </t>
  </si>
  <si>
    <t>TOYOTA INNOVA - Nâu vàng</t>
  </si>
  <si>
    <t>Công ty CP Đầu tư Phát triển Giáo dục Hoàng Việt</t>
  </si>
  <si>
    <t>SK: RL4XW42G1E9409451
SM: 1TR7720806</t>
  </si>
  <si>
    <t>Bùi Trung Hiếu</t>
  </si>
  <si>
    <t>VA010107</t>
  </si>
  <si>
    <t>0907709149</t>
  </si>
  <si>
    <t>083082014671</t>
  </si>
  <si>
    <t>Không có niên hạn</t>
  </si>
  <si>
    <t>790128228539</t>
  </si>
  <si>
    <t>PHẦN 4: BẢNG THEO DÕI TIẾN ĐỘ CÔNG VIỆC ĐIỀU VẬN</t>
  </si>
  <si>
    <t>MIC</t>
  </si>
  <si>
    <t>https://drive.google.com/drive/folders/14yO8UU_1P0OjU_1_-WJTn-QJDq-K4_5o?usp=drive_link</t>
  </si>
  <si>
    <t>Đăng kiểm 12 tháng/lần</t>
  </si>
  <si>
    <t>5000km (Garage Thành Nghiệp)</t>
  </si>
  <si>
    <t>Tần suất</t>
  </si>
  <si>
    <t>Hạng mục</t>
  </si>
  <si>
    <t>Chi tiết công việc</t>
  </si>
  <si>
    <t>Công cụ hỗ trợ/File</t>
  </si>
  <si>
    <t>Lưu ý/Ghi chú</t>
  </si>
  <si>
    <t>Hằng ngày</t>
  </si>
  <si>
    <t>Door-to-door (D2D)</t>
  </si>
  <si>
    <r>
      <rPr>
        <u/>
        <sz val="12"/>
        <color rgb="FF1155CC"/>
        <rFont val="Times New Roman"/>
      </rPr>
      <t>https://drive.google.com/file/d/1ac_7WyovYkR1DKm7CdkcQxYNjuI6RKEi/view?usp=drive_link</t>
    </r>
    <r>
      <rPr>
        <sz val="12"/>
        <rFont val="Times New Roman"/>
      </rPr>
      <t xml:space="preserve">
</t>
    </r>
    <r>
      <rPr>
        <u/>
        <sz val="12"/>
        <color rgb="FF1155CC"/>
        <rFont val="Times New Roman"/>
      </rPr>
      <t>https://drive.google.com/file/d/122b0eYCeZQKR4GDnC3YbW1BMgOc4qf78/view?usp=drive_link</t>
    </r>
  </si>
  <si>
    <r>
      <rPr>
        <sz val="13"/>
        <rFont val="Times New Roman"/>
      </rPr>
      <t xml:space="preserve">TK App Anta Bus và tài khoản GPS:
Tên đăng nhập:  vaschools@antabus.asia
Mật khẩu: 1q2w3e4r
Anta Bus: https://anta.smartant.asia/#/login
Traccar GPS Tracking System: </t>
    </r>
    <r>
      <rPr>
        <u/>
        <sz val="13"/>
        <color rgb="FF1155CC"/>
        <rFont val="Times New Roman"/>
      </rPr>
      <t>https://track.antk.co/login</t>
    </r>
  </si>
  <si>
    <t>Theo dõi số lượng học sinh, kiểm soát trẻ vắng/nghỉ, xử lý sự cố phát sinh.</t>
  </si>
  <si>
    <t>Nguyễn Tấn Tài</t>
  </si>
  <si>
    <t>VA010936</t>
  </si>
  <si>
    <t>Nhóm Zalo Vận hành: 
+ P2P: [Điều vận] Xe trung chuyển HS 2025 - 2026 (Chung); [VA Hạnh Thông] Xe trung chuyển mầm non</t>
  </si>
  <si>
    <t>0866649771</t>
  </si>
  <si>
    <t>079091033075</t>
  </si>
  <si>
    <t>790122799981</t>
  </si>
  <si>
    <t>Point-to-point (P2P)</t>
  </si>
  <si>
    <t>Nhóm Zalo Vận hành: 
+ D2D: VA Schools - SBS (Nhóm chung); [VA Schools - SBS] Vận hành 05; [VA Schools - SBS] Vận hành 06; [VA Schools - SBS] Vận hành 07.</t>
  </si>
  <si>
    <t>Package (Cơm)</t>
  </si>
  <si>
    <t>Kiểm soát 3 khung giờ vận chuyển cơm (6h-7h, 9h-9h30, 13h-13h30).</t>
  </si>
  <si>
    <t>https://drive.google.com/drive/folders/1MZ9m2qg6huzhG6qSOpvqroMpGANQC3LT?usp=drive_link</t>
  </si>
  <si>
    <t>Khung giờ cố định, có thể linh hoạt thay thế xe Innova 7 chỗ để phục vụ các công tác chuyển hàng gấp khác.</t>
  </si>
  <si>
    <t>Xe nội bộ</t>
  </si>
  <si>
    <t>Lịch trình xe: Cập nhật doanh thu và tần suất sử dụng xe theo mục đích (Hàng hóa/Con người).</t>
  </si>
  <si>
    <t>Cập nhật Calendar ngay</t>
  </si>
  <si>
    <t>Hằng tuần</t>
  </si>
  <si>
    <t>Ghi nhận và báo cáo các trường hợp học sinh sử dụng xe trung chuyển vi phạm Nội quy.</t>
  </si>
  <si>
    <t xml:space="preserve">Chốt vào chiều Thứ 6 hằng tuần, làm thông báo để Tư vấn gửi cho PHHS nhắc nhở, lập biên bản vi phạm (nếu có) </t>
  </si>
  <si>
    <t>Admin Điều vận</t>
  </si>
  <si>
    <t xml:space="preserve">Cập nhật công việc, biên bản họp các nội dung liên quan Bộ phận Điều vận </t>
  </si>
  <si>
    <t>Biên bản họp: Điều vận</t>
  </si>
  <si>
    <r>
      <rPr>
        <u/>
        <sz val="12"/>
        <color rgb="FF1155CC"/>
        <rFont val="Times New Roman"/>
      </rPr>
      <t>https://drive.google.com/file/d/1humGHf4_vmwK6FKkeaFIpw0vlKCM9AVw/view?usp=sharing</t>
    </r>
    <r>
      <rPr>
        <sz val="12"/>
        <rFont val="Times New Roman"/>
      </rPr>
      <t xml:space="preserve">
</t>
    </r>
    <r>
      <rPr>
        <u/>
        <sz val="12"/>
        <color rgb="FF1155CC"/>
        <rFont val="Times New Roman"/>
      </rPr>
      <t>https://drive.google.com/file/d/1AcL4JHS0JIlqwr_o1G8x-bGBOuAkoT9K/view?usp=sharing</t>
    </r>
  </si>
  <si>
    <r>
      <rPr>
        <sz val="13"/>
        <rFont val="Times New Roman"/>
      </rPr>
      <t xml:space="preserve">Link đăng ký: </t>
    </r>
    <r>
      <rPr>
        <u/>
        <sz val="13"/>
        <color rgb="FF1155CC"/>
        <rFont val="Times New Roman"/>
      </rPr>
      <t>https://docs.google.com/forms/d/e/1FAIpQLSd4nLCjjx6x5G-a69MavYgUwQoCGXmUjJtH40jOWtG6WprQ_Q/viewform</t>
    </r>
    <r>
      <rPr>
        <sz val="13"/>
        <rFont val="Times New Roman"/>
      </rPr>
      <t xml:space="preserve">
File master dữ liệu chung: Registration 2025 - 2026 (VA Schools)
File dữ liệu BP. Tư vấn: XE ĐƯA ĐÓN NH 2025-2026
Hợp đồng PHHS: </t>
    </r>
    <r>
      <rPr>
        <u/>
        <sz val="13"/>
        <color rgb="FF1155CC"/>
        <rFont val="Times New Roman"/>
      </rPr>
      <t>https://drive.google.com/drive/folders/1DeO8P9B8mGCMfwO03xiOMk-bsL-hmYmp?usp=drive_link</t>
    </r>
  </si>
  <si>
    <t>Nguyễn Huy Sang</t>
  </si>
  <si>
    <t>VA011384</t>
  </si>
  <si>
    <t>0989723130</t>
  </si>
  <si>
    <t>079086018873</t>
  </si>
  <si>
    <t>790129020251</t>
  </si>
  <si>
    <t>https://drive.google.com/drive/folders/1mDJ9fU__sYSyxHkdKi_Lmx963sW2S-Nc?usp=drive_link</t>
  </si>
  <si>
    <t>Hiệu suất xe</t>
  </si>
  <si>
    <t>Cập nhật dữ liệu doanh thu, chi phí từng xe theo tuần để tổng hợp báo cáo hiệu suất mỗi quý.</t>
  </si>
  <si>
    <t>(Mới) Bảng theo dõi chi phí - doanh thu xe_File in TX (final).xlsx</t>
  </si>
  <si>
    <t>https://drive.google.com/file/d/17bF5oT_54QNegBkvCZ0sYLBwVDvld2iF/view?usp=sharing</t>
  </si>
  <si>
    <t>2. Point-to-Point</t>
  </si>
  <si>
    <t>Trung chuyển giữa các cơ sở (miễn phí) hoặc đi ngoại khóa, sự kiện, CLB.</t>
  </si>
  <si>
    <t xml:space="preserve">Ưu tiên Xe nội bộ (Xe 16 chỗ). Hết xe mới gọi NCC ngoài. (SBS - Hân Du - Đăng Hồng Phát) </t>
  </si>
  <si>
    <t>Hồ Tuấn Kiệt</t>
  </si>
  <si>
    <t>Học sinh, GV/CBNV phụ trách trưởng đoàn, Lái xe.</t>
  </si>
  <si>
    <t>VA011377</t>
  </si>
  <si>
    <t>0773215485</t>
  </si>
  <si>
    <t>Tiếp nhận đăng ký; Giám sát điểm danh (qua tài xế); Xử lý phiếu đề xuất/tờ trình sự kiện.</t>
  </si>
  <si>
    <t>056089006368</t>
  </si>
  <si>
    <t>560138005369</t>
  </si>
  <si>
    <t>Phiếu đề xuất, Kế hoạch/Tờ trình sự kiện, Phiếu đăng ký sử dụng dịch vụ, Danh sách điểm danh.</t>
  </si>
  <si>
    <t>B2</t>
  </si>
  <si>
    <t>https://drive.google.com/drive/folders/1rp8Pfog3UXYtGJuFUAYWFJhJ2SRst0hQ?usp=drive_link</t>
  </si>
  <si>
    <t xml:space="preserve">Danh sách học sinh: 25-26_File in_DS học sinh xe đưa rước.xlsx
Lộ trình tuyến:
[VA] Lộ trình xe trung chuyển 2025 -2026 _ HS chính sách
Bảng kê Đăng Hồng Phát: [Đăng Hồng Phát] BOOKING VA Schools.xlsx
Bảng kê Hân Du: [Hân Du]_2025_Bảng kê thuê xe ngoại khóa.xlsx
DS CLB THCS (Thứ 7): Đăng ký CLB Thể Dục Thể Thao sáng thứ bảy - Cơ sở Bình Thới (Lạc Long Quân) (Responses)
</t>
  </si>
  <si>
    <t>Tài chính</t>
  </si>
  <si>
    <t>Thanh toán hồ sơ xe nội bộ (nếu có)</t>
  </si>
  <si>
    <t>Linh. Bùi- THEO DÕI CHI PHÍ  MUA HÀNG</t>
  </si>
  <si>
    <t>0983931404</t>
  </si>
  <si>
    <t>Dương Hoàng Trọng</t>
  </si>
  <si>
    <t>VA010502</t>
  </si>
  <si>
    <t>084085009207</t>
  </si>
  <si>
    <t>790127794828</t>
  </si>
  <si>
    <t>https://drive.google.com/drive/folders/16Os-tyJN4L4gqZIPaEhv8_uS765ceccC?usp=drive_link</t>
  </si>
  <si>
    <r>
      <rPr>
        <u/>
        <sz val="13"/>
        <color rgb="FF1155CC"/>
        <rFont val="Times New Roman"/>
      </rPr>
      <t xml:space="preserve">Phiếu đề nghị Điều vận (Online)
</t>
    </r>
    <r>
      <rPr>
        <sz val="13"/>
        <rFont val="Times New Roman"/>
      </rPr>
      <t>Kết quả: [VA Schools] Đề nghị Điều vận  (Câu trả lời)
Phiếu đề nghị Điều vận (Bản in trình ký): Đề nghị điều vận.xlsx</t>
    </r>
  </si>
  <si>
    <t xml:space="preserve">Tài xế tổng hợp chứng từ thanh toán, kiểm tra và đối chiếu dữ liệu. </t>
  </si>
  <si>
    <t>51H 360.95</t>
  </si>
  <si>
    <t>Xăng dầu</t>
  </si>
  <si>
    <t>VINFAST LUX SA 2.0 - Nâu</t>
  </si>
  <si>
    <t>Công ty CP Văn hóa Giáo dục Việt Mỹ</t>
  </si>
  <si>
    <t>SK: RPXAB2RXGKV000233
SM: 192120020VF20SUV</t>
  </si>
  <si>
    <t>Lưu Quốc Việt</t>
  </si>
  <si>
    <t>VA011423</t>
  </si>
  <si>
    <t>Thanh toán hằng tuần khi nhận hồ sơ từ Tài xế.</t>
  </si>
  <si>
    <t>0933778773</t>
  </si>
  <si>
    <t>079089022303</t>
  </si>
  <si>
    <t>790136782126</t>
  </si>
  <si>
    <t>2025_Chi phí xe</t>
  </si>
  <si>
    <t>https://drive.google.com/drive/folders/1cCpE1Ue7aJuFIt08hKGJrhhUR2Q23Uwy?usp=drive_link</t>
  </si>
  <si>
    <t>https://drive.google.com/file/d/1nFE0nHahijonk7uHFr5mRKIx2AO4_PPX/view?usp=drive_link
https://drive.google.com/file/d/1ouTdVeQ_spFZfbBxvHhynYYTtaQp9LBA/view?usp=drive_link</t>
  </si>
  <si>
    <r>
      <rPr>
        <sz val="13"/>
        <rFont val="Times New Roman"/>
      </rPr>
      <t xml:space="preserve">Link đăng ký: </t>
    </r>
    <r>
      <rPr>
        <u/>
        <sz val="13"/>
        <color rgb="FF1155CC"/>
        <rFont val="Times New Roman"/>
      </rPr>
      <t>https://docs.google.com/forms/d/e/1FAIpQLSdcOk9Si9jl0dbUwtbtnhy-tArMQ78IAGIARRqkrA_Q3ogDzQ/viewform</t>
    </r>
    <r>
      <rPr>
        <sz val="13"/>
        <rFont val="Times New Roman"/>
      </rPr>
      <t xml:space="preserve">
File excel: [VA Schools] Đơn đăng ký sử dụng xe trung chuyển (Responses) 
Đơn đăng ký (bản ký): Đơn đề nghị sử dụng dịch vụ xe.docx</t>
    </r>
  </si>
  <si>
    <t>Chi phí không hóa đơn</t>
  </si>
  <si>
    <t>Biên bản kê khai (Phí cầu đường, sạc xe, sửa nhỏ dọc đường).</t>
  </si>
  <si>
    <t>Chỉ áp dụng khi thực sự không thể lấy hóa đơn VAT. Cần tài xế ký xác nhận và ảnh chụp (nếu có).</t>
  </si>
  <si>
    <t>Mua hàng có hóa đơn</t>
  </si>
  <si>
    <t>Gửi đề xuất TĐV -&gt; Chuyển cho NV Mua hàng xử lý</t>
  </si>
  <si>
    <t>3. Business Trip</t>
  </si>
  <si>
    <t>Hằng tháng</t>
  </si>
  <si>
    <r>
      <rPr>
        <u/>
        <sz val="12"/>
        <color rgb="FF1155CC"/>
        <rFont val="Times New Roman"/>
      </rPr>
      <t>https://drive.google.com/file/d/1Y8nsFZix1yFXMXM9BNdmKQAYENLXVdSr/view?usp=drive_link</t>
    </r>
    <r>
      <rPr>
        <sz val="12"/>
        <rFont val="Times New Roman"/>
      </rPr>
      <t xml:space="preserve">
</t>
    </r>
    <r>
      <rPr>
        <u/>
        <sz val="12"/>
        <color rgb="FF1155CC"/>
        <rFont val="Times New Roman"/>
      </rPr>
      <t>https://drive.google.com/file/d/13nTOdkfsOuHyLBc3iXx8kTdUtjA3Yxwm/view?usp=drive_link</t>
    </r>
  </si>
  <si>
    <t>Cấp Quản lý hoặc GV/NV đi công tác (theo yêu cầu từ cá nhân hoặc Phòng HCNS).</t>
  </si>
  <si>
    <t>Đối soát hóa đơn xăng dầu, thanh toán bảo dưỡng xe (Thành Nghiệp), thẻ Taxi (Vinasun), hóa đơn các NCC ngoài.</t>
  </si>
  <si>
    <t>Ưu tiên Xe nội bộ (Xe Ban Giám đốc (VF9) - Xe 07 chỗ - Xe 16 chỗ). Hết xe gọi NCC ưu tiên. (Đăng Hồng Phát - SBS - Hân Du)</t>
  </si>
  <si>
    <t>Hoàn thiện hồ sơ thanh toán gửi Kế toán trước ngày 15 hằng tháng.</t>
  </si>
  <si>
    <t>GV/CBNV phụ trách, Lái xe.</t>
  </si>
  <si>
    <t>VETC (Phí đường bộ)</t>
  </si>
  <si>
    <t>Tiếp nhận đề xuất; Cung cấp báo giá chi phí; Liên hệ đối tượng sử dụng xe.</t>
  </si>
  <si>
    <t>- Vào web https://vetc.com.vn/ đăng nhập theo thông tin công ty.
- Cuối tháng tải hóa đơn làm thanh toán.</t>
  </si>
  <si>
    <t>Phiếu đề xuất (có ký duyệt từ BGĐ), Báo giá chi phí vận chuyển.</t>
  </si>
  <si>
    <t>Việt Mỹ ID: E0101653057
Pass: vietmy
Hoàng Việt ID: E0101652727
Pass: Hoangviet123@</t>
  </si>
  <si>
    <t>Thông tin CBQL (Cập nhật đến tháng 01/2025): Bản sao của [VAs] _ Địa chỉ email CBQL(01.2025)</t>
  </si>
  <si>
    <t>Gửi xe (Tháng/Lẻ)</t>
  </si>
  <si>
    <t>Gửi xe tháng: Bãi Bằng (Làm bảng kê không hóa đơn)
Gửi xe lẻ: Tập hợp Biên lai (Làm bảng kê không hóa đơn)</t>
  </si>
  <si>
    <t>https://docs.google.com/spreadsheets/d/1N8cA0XRuCKR6tM0c_zRri5hRNksy4SlvM3npG5x1XMA/edit?usp=sharing</t>
  </si>
  <si>
    <r>
      <rPr>
        <u/>
        <sz val="12"/>
        <color rgb="FF1155CC"/>
        <rFont val="Times New Roman"/>
      </rPr>
      <t>https://drive.google.com/file/d/1Ki3cs4tgUkD-UbHDhpu2-yl3S-ElG7O0/view?usp=drive_link</t>
    </r>
    <r>
      <rPr>
        <sz val="12"/>
        <rFont val="Times New Roman"/>
      </rPr>
      <t xml:space="preserve">
</t>
    </r>
    <r>
      <rPr>
        <u/>
        <sz val="12"/>
        <color rgb="FF1155CC"/>
        <rFont val="Times New Roman"/>
      </rPr>
      <t>https://drive.google.com/file/d/1L_bOsk0F6Wk9wQd71JbORl2QvfHPU737/view?usp=drive_link</t>
    </r>
  </si>
  <si>
    <t>Taxi (Hóa đơn thẻ/lẻ)</t>
  </si>
  <si>
    <t>Cuống vé lẻ hoặc bảng kê sử dụng thẻ Taxi.</t>
  </si>
  <si>
    <t>Kiểm tra đối tượng sử dụng (Cấp quản lý hay NV có đề xuất được duyệt).</t>
  </si>
  <si>
    <r>
      <rPr>
        <u/>
        <sz val="13"/>
        <color rgb="FF1155CC"/>
        <rFont val="Times New Roman"/>
      </rPr>
      <t xml:space="preserve">Phiếu đề nghị Điều vận (Online)
</t>
    </r>
    <r>
      <rPr>
        <sz val="13"/>
        <rFont val="Times New Roman"/>
      </rPr>
      <t>Kết quả: [VA Schools] Đề nghị Điều vận  (Câu trả lời)
Phiếu đề nghị Điều vận (Bản in trình ký): Đề nghị điều vận.xlsx</t>
    </r>
  </si>
  <si>
    <t>Thuê xe NCC (4 gói)</t>
  </si>
  <si>
    <t>Phiếu đề nghị, Bảng kê lộ trình, Hóa đơn VAT.</t>
  </si>
  <si>
    <t>Đối soát kỹ lộ trình trên file Google Sheets với bảng kê NCC gửi qua.</t>
  </si>
  <si>
    <t>Sửa chữa xe (Định kỳ)</t>
  </si>
  <si>
    <t xml:space="preserve">Bàn giao thẻ Taxi: Bàn giao thẻ Taxi.xlsx
Báo cáo Doanh thu - Chi phí: (Mới) Bảng theo dõi chi phí - doanh thu xe_File in TX (final).xlsx
</t>
  </si>
  <si>
    <t xml:space="preserve">Nhận đề xuất từ Tài xế -&gt; Trình ký Chi phí BTGĐ -&gt; Báo NCC tiếp nhận xử lý </t>
  </si>
  <si>
    <t>NCC Thành Nghiệp</t>
  </si>
  <si>
    <t xml:space="preserve"> Xử lý công nợ trong vòng 05 ngày từ ngày nhận đủ hồ sơ thanh toán</t>
  </si>
  <si>
    <t>Đăng kiểm</t>
  </si>
  <si>
    <r>
      <rPr>
        <sz val="12"/>
        <rFont val="Times New Roman"/>
      </rPr>
      <t xml:space="preserve">Nhận hồ sơ thanh toán từ TX, truy cập trang web in hóa đơn : </t>
    </r>
    <r>
      <rPr>
        <u/>
        <sz val="12"/>
        <color rgb="FF1155CC"/>
        <rFont val="Times New Roman"/>
      </rPr>
      <t>https://ttdkxecogioitphcm0319408925-tt78.vnpt-invoice.com.vn/SearchInvByCusCode/Index</t>
    </r>
    <r>
      <rPr>
        <sz val="12"/>
        <rFont val="Times New Roman"/>
      </rPr>
      <t xml:space="preserve"> (Vui lòng copy link không bấm vào link sẽ ra web khác không lấy được hóa đơn)</t>
    </r>
  </si>
  <si>
    <t>Nhóm công việc</t>
  </si>
  <si>
    <t>Tên công việc / Hạng mục</t>
  </si>
  <si>
    <t>4. Package</t>
  </si>
  <si>
    <t>Mô tả chi tiết công việc</t>
  </si>
  <si>
    <t>Cố định: Chạy cơm (6h-7h, 9h-9h30, 13h-13h30). Phát sinh: Chuyển hàng kho/hệ thống.</t>
  </si>
  <si>
    <t>Thời điểm thực hiện</t>
  </si>
  <si>
    <t>Xe Van nội bộ / Xe NCC (Ahamove)</t>
  </si>
  <si>
    <t>Thời hạn hoàn thành</t>
  </si>
  <si>
    <t>Trạng thái</t>
  </si>
  <si>
    <t>Link File mẫu / Biểu mẫu</t>
  </si>
  <si>
    <t>Link Quy định / Chính sách</t>
  </si>
  <si>
    <t>Đảm bảo đúng khung giờ cơm; Điều phối yêu cầu vận chuyển hàng hóa phát sinh.</t>
  </si>
  <si>
    <t>Link Hồ sơ / Dữ liệu năm trước</t>
  </si>
  <si>
    <t>Ghi chú bổ sung</t>
  </si>
  <si>
    <t>51B 513.01</t>
  </si>
  <si>
    <t>Lịch chạy cơm cố định, Phiếu đề xuất (cho hàng phát sinh).</t>
  </si>
  <si>
    <t>FORD TRANSIT - Bạc bạch kim</t>
  </si>
  <si>
    <t>Door-to-door</t>
  </si>
  <si>
    <t>SK: RL3DLT6MMPTR55879
SM: P7P35266DURATORQ4D225H</t>
  </si>
  <si>
    <r>
      <rPr>
        <u/>
        <sz val="13"/>
        <color rgb="FF1155CC"/>
        <rFont val="Times New Roman"/>
      </rPr>
      <t xml:space="preserve">Phiếu đề nghị Điều vận (Online)
</t>
    </r>
    <r>
      <rPr>
        <sz val="13"/>
        <rFont val="Times New Roman"/>
      </rPr>
      <t>Kết quả: [VA Schools] Đề nghị Điều vận  (Câu trả lời)
Phiếu đề nghị Điều vận (Bản in trình ký): Đề nghị điều vận.xlsx</t>
    </r>
  </si>
  <si>
    <t>Đăng kiểm 6 tháng/lần</t>
  </si>
  <si>
    <t>10.000 km/ 6 tháng (Cty CP ĐT &amp; TM Tây Ôtô)</t>
  </si>
  <si>
    <t xml:space="preserve">Mỗi tháng kiểm tra xe nào đến hạn Đăng kiểm để nhắc xe. </t>
  </si>
  <si>
    <r>
      <rPr>
        <u/>
        <sz val="12"/>
        <color rgb="FF1155CC"/>
        <rFont val="Times New Roman"/>
      </rPr>
      <t>https://drive.google.com/file/d/17aTPD8fBrCdhmzSje_szMFgVVxkFVyal/view?usp=sharing</t>
    </r>
    <r>
      <rPr>
        <sz val="12"/>
        <rFont val="Times New Roman"/>
      </rPr>
      <t xml:space="preserve">
</t>
    </r>
    <r>
      <rPr>
        <u/>
        <sz val="12"/>
        <color rgb="FF1155CC"/>
        <rFont val="Times New Roman"/>
      </rPr>
      <t>https://drive.google.com/file/d/1nMOxDb_oOAbCqGsW4cv7jKW3gzgjAPze/view?usp=sharing</t>
    </r>
  </si>
  <si>
    <t>Hằng năm</t>
  </si>
  <si>
    <t>Định vị GPS, Camera</t>
  </si>
  <si>
    <t>Hóa đơn phí thuê bao hằng năm.</t>
  </si>
  <si>
    <t>Liên hệ: Đình Trường - ADSUN - 0936689895</t>
  </si>
  <si>
    <t>Tháng 2 hằng năm</t>
  </si>
  <si>
    <t>Bảo hiểm xe (MIC)</t>
  </si>
  <si>
    <t>Giấy chứng nhận bảo hiểm, hóa đơn.</t>
  </si>
  <si>
    <t>Lập lịch nhắc hạn trước 1 tháng để mua mới cho xe nội bộ.</t>
  </si>
  <si>
    <t>Phát sinh</t>
  </si>
  <si>
    <t>Bảo hiểm du lịch</t>
  </si>
  <si>
    <t>Danh sách HS, Tờ trình sự kiện, Hợp đồng bảo hiểm.</t>
  </si>
  <si>
    <t>Bắt buộc: Mua khi thuê xe chở HS đi tỉnh (không phải tour trọn gói).</t>
  </si>
  <si>
    <t>Nhân sự</t>
  </si>
  <si>
    <t>Theo dõi lịch nghỉ phép, tăng ca Tài xế, Bảo mẫu hỗ trợ xe đưa rước, Chấm công cho đội ngũ Bảo mẫu và Lái xe nội bộ.</t>
  </si>
  <si>
    <t>Tổng hợp gửi Admin vào ngày 19 hằng tháng</t>
  </si>
  <si>
    <t>Công nợ</t>
  </si>
  <si>
    <t>Đối soát công nợ gói Door-to-Door (SBS) và Point-to-Point (Đăng Hồng Phát, Hân Du) &amp; hoàn thiện bảng kê lộ trình.</t>
  </si>
  <si>
    <t>https://drive.google.com/file/d/1VhKCIiI8THxu_xY-QWbvfeqqxVDEDNmR/view?usp=drive_link</t>
  </si>
  <si>
    <t>Chứng từ</t>
  </si>
  <si>
    <t>Hoàn thiện hồ sơ tạm ứng, hoàn ứng, thanh toán phí cầu đường/VETC.</t>
  </si>
  <si>
    <t>Nộp kế toán đúng hạn</t>
  </si>
  <si>
    <t>Báo cáo</t>
  </si>
  <si>
    <t>Cập nhật tần suất sử dụng xe nội bộ theo mục đích (Hàng/Người) định danh trên đối tượng sử dụng Chức danh/Phòng ban</t>
  </si>
  <si>
    <t>Khách hàng: Dữ liệu sử dụng xe công tác
Chi phí Vận hành xe nội bộ: 2024_Chi phí vận hành đội xe nội bộ
Báo cáo hiệu suất: 2025_Báo cáo hiệu suất xe.xlsx (Tháng 09-11/2025)</t>
  </si>
  <si>
    <r>
      <rPr>
        <u/>
        <sz val="12"/>
        <color rgb="FF1155CC"/>
        <rFont val="Times New Roman"/>
      </rPr>
      <t>https://drive.google.com/file/d/1L2VFqvkPmdlASYchaBVD5lfuHt5Gbpi3/view?usp=sharing</t>
    </r>
    <r>
      <rPr>
        <sz val="12"/>
        <rFont val="Times New Roman"/>
      </rPr>
      <t xml:space="preserve">
</t>
    </r>
    <r>
      <rPr>
        <u/>
        <sz val="12"/>
        <color rgb="FF1155CC"/>
        <rFont val="Times New Roman"/>
      </rPr>
      <t>https://drive.google.com/file/d/1Ka-g-Ujl0MgGM8HSnmXGls55vHaNP0HB/view?usp=sharing</t>
    </r>
  </si>
  <si>
    <t>Dùng dữ liệu để tối ưu xe</t>
  </si>
  <si>
    <t>Hồ sơ xe</t>
  </si>
  <si>
    <t xml:space="preserve">Theo dõi lịch bảo trì, bảo dưỡng; cập nhật Đăng kiểm và Bảo hiểm xe nội bộ. </t>
  </si>
  <si>
    <t>Theo dõi tại Sheet "Thông tin xe", Cập nhật, bổ sung hồ sơ xe file scan (Đăng kiểm, bảo hiểm...).</t>
  </si>
  <si>
    <t>An toàn xe</t>
  </si>
  <si>
    <t>Hướng dẫn, kiểm tra quy trình an toàn đối với tài xế nội bộ.</t>
  </si>
  <si>
    <t>10% chuyến mỗi tháng</t>
  </si>
  <si>
    <t>Thiết bị giám sát hành trình</t>
  </si>
  <si>
    <t>Gia hạn mỗi năm 1 lần.</t>
  </si>
  <si>
    <t>Dữ liệu HS</t>
  </si>
  <si>
    <t>Chốt danh sách học sinh xe trung chuyển (P2P) và đưa rước (D2D).</t>
  </si>
  <si>
    <t>Tuần đầu tháng 7 hằng năm</t>
  </si>
  <si>
    <t>Lệnh điều xe</t>
  </si>
  <si>
    <t>Cấp mới/Làm lại Lệnh điều xe cho tất cả các xe nội bộ.</t>
  </si>
  <si>
    <t>Theo năm học mới</t>
  </si>
  <si>
    <t>Đánh giá NCC</t>
  </si>
  <si>
    <t>Tái đánh giá và tìm kiếm NCC các gói dịch vụ Door-to-Door</t>
  </si>
  <si>
    <t xml:space="preserve">Nghiên cứu thị trường: NCC_Dịch vụ xe đưa rước
</t>
  </si>
  <si>
    <t>51B 513.82</t>
  </si>
  <si>
    <t>SK: RL3DLT6MMPTR55815
SM: P5P22089DURATORQ4D225H</t>
  </si>
  <si>
    <t>Door-to-Door: Chốt NCC vào tháng 3 hằng năm để lên biểu phí giá Xe đưa rước cho Phòng Kinh doanh.</t>
  </si>
  <si>
    <t>Cúng rằm tháng 7</t>
  </si>
  <si>
    <t xml:space="preserve">Lên kế hoạch đề xuất mâm cúng: https://docs.google.com/spreadsheets/d/1tWUkOI9-2-nBj-eFIHGypVpz2EZgwWeR6txVVlh5ymc/edit?usp=sharing
Trình ký Đề xuất chi phí.
Liên hệ nhân sự phụ trách NCC set up mâm cúng, Liên hệ P. CSVC set up bàn, khu vực đậu xe, hóa vàng. (Cúng nhằm 16/7 ÂL)
Lên lịch cúng và sắp xếp công tác đội xe. 
Dọn dẹp sau khi cúng xong. </t>
  </si>
  <si>
    <r>
      <rPr>
        <u/>
        <sz val="12"/>
        <color rgb="FF1155CC"/>
        <rFont val="Times New Roman"/>
      </rPr>
      <t>https://drive.google.com/file/d/1U6F_SiYSksvR9nkDEuf1-FcrCWxPwzPe/view?usp=sharing</t>
    </r>
    <r>
      <rPr>
        <sz val="12"/>
        <rFont val="Times New Roman"/>
      </rPr>
      <t xml:space="preserve">
</t>
    </r>
    <r>
      <rPr>
        <u/>
        <sz val="12"/>
        <color rgb="FF1155CC"/>
        <rFont val="Times New Roman"/>
      </rPr>
      <t>https://drive.google.com/file/d/1c2VlGwGMRoDly-3lmKz114Ku1FZvsdcg/view?usp=sharing</t>
    </r>
  </si>
  <si>
    <t>PHẦN 4: QUY TRÌNH ĐIỀU VẬN HẰNG NGÀY</t>
  </si>
  <si>
    <t>https://drive.google.com/file/d/1IW0WPj3AsJ6pJ2Se8uLe66P7xi3Awbd4/view?usp=sharing</t>
  </si>
  <si>
    <t xml:space="preserve">Quy trình làm hồ sơ thanh toán: (Hoàn thiện hồ sơ trước ngày 15 hằng tháng gửi kế toán) </t>
  </si>
  <si>
    <r>
      <rPr>
        <u/>
        <sz val="13"/>
        <color rgb="FF1155CC"/>
        <rFont val="Times New Roman"/>
      </rPr>
      <t xml:space="preserve">Phiếu đề nghị Điều vận (Online)
</t>
    </r>
    <r>
      <rPr>
        <sz val="13"/>
        <rFont val="Times New Roman"/>
      </rPr>
      <t>Kết quả: [VA Schools] Đề nghị Điều vận  (Câu trả lời)
Phiếu đề nghị Điều vận (Bản in trình ký): Đề nghị điều vận.xlsx</t>
    </r>
  </si>
  <si>
    <t>1/ Tập hợp chứng từ: Thu gom toàn bộ Đề nghị Điều vận, hóa đơn, biên lai, bảng kê theo từng hạng mục vào tuần cuối cùng của tháng.</t>
  </si>
  <si>
    <t>2/ Đối soát (Verify): Khớp số liệu giữa File Google Sheets (Hành khách/Hàng hóa) với Chứng từ thực tế. Nếu sai lệch phải yêu cầu tài xế hoặc NCC giải trình ngay.</t>
  </si>
  <si>
    <t>3/ Lập hồ sơ thanh toán:</t>
  </si>
  <si>
    <t>https://drive.google.com/file/d/1uxoRD1RPaMlumE-z3BQ1WXoRKLvOsuId/view?usp=drive_link
https://drive.google.com/file/d/16kCrpphs5Pl_44_JdGHLYRRuH0lAAuZt/view?usp=drive_link</t>
  </si>
  <si>
    <t>- Đề nghị cung ứng hàng hóa/dịch vụ; (Có Chi phí đã trình BTGĐ/BGĐ)</t>
  </si>
  <si>
    <t>- Giấy đề nghị thanh toán;</t>
  </si>
  <si>
    <t>- Hóa đơn VAT;</t>
  </si>
  <si>
    <t>- Bảng kê chi tiết đối tượng sử dụng/ hóa đơn VAT/ hóa đơn lẻ;</t>
  </si>
  <si>
    <t>Bước 1: Tiếp nhận Đề nghị</t>
  </si>
  <si>
    <t>4/ Trình ký: Gửi TĐV ký duyệt, sau đó chuyển sang phòng Kế toán.</t>
  </si>
  <si>
    <t>Bước 2: Cập nhật File Tổng hợp (Google Sheets)</t>
  </si>
  <si>
    <t>Bước 3: Thiết lập Lịch (Google Calendar)</t>
  </si>
  <si>
    <t>5/ Theo dõi thanh toán: Theo dõi trạng thái hồ sơ để báo tin cho NCC hoặc Tài xế khi tiền đã được chi trả.</t>
  </si>
  <si>
    <t>Bước 4: Điều phối &amp; Xác nhận</t>
  </si>
  <si>
    <t>Bước 5: Hoàn tất Hồ sơ</t>
  </si>
  <si>
    <t>Hướng dẫn người đề xuất điền mẫu "Đề nghị Điều vận".</t>
  </si>
  <si>
    <t>Nhập liệu ngay vào link quản lý:</t>
  </si>
  <si>
    <t>Tạo sự kiện Calendar với cấu trúc: (Tên TX) (Đối tượng sử dụng) Tên hoạt động/sự kiện.
Mô tả:
Trưởng đoàn
Thời gian
Địa điểm đi
Địa điểm đến
Số lượng
Lịch trình cụ thể
Thông tin xe.</t>
  </si>
  <si>
    <t>Sắp xếp xe nội bộ hoặc liên hệ NCC ngoài (thương lượng giá, đặt xe).</t>
  </si>
  <si>
    <t xml:space="preserve">Lưu ý bắt buộc: </t>
  </si>
  <si>
    <t>Tổng hợp phiếu đề nghị trình ký TĐV Điều vận.</t>
  </si>
  <si>
    <t>NV Điều vận bổ sung thông tin chi phí vào phiếu.</t>
  </si>
  <si>
    <r>
      <rPr>
        <b/>
        <u/>
        <sz val="13"/>
        <color rgb="FF1155CC"/>
        <rFont val="Times New Roman"/>
      </rPr>
      <t>Link File Hành khách</t>
    </r>
  </si>
  <si>
    <t>- Xăng/dầu: Hình chụp sổ có xác nhận tổ trưởng; Hình chụp đồng hồ minh chứng km cuối chốt xăng.</t>
  </si>
  <si>
    <t>- Không hóa đơn VAT: Bảng kê Không hóa đơn BGĐ xác nhận.</t>
  </si>
  <si>
    <t>- Thanh toán sửa chữa: Quyết toán sửa chữa (Chữ ký và Mộc đỏ NCC), Biên bản nghiệm thu bàn giao xe.</t>
  </si>
  <si>
    <t>Ghi chú:</t>
  </si>
  <si>
    <t>- VAT là ưu tiên: Luôn yêu cầu NCC cung cấp hóa đơn VAT. Chỉ sử dụng biên lai lẻ trong trường hợp bất khả kháng (phí gửi xe lề đường, sửa xe khẩn cấp dọc đường).</t>
  </si>
  <si>
    <t>- Hạn chót (Deadline): Quy định rõ ngày cuối cùng nhận chứng từ từ tài xế/NCC (ví dụ: ngày 07 hàng tháng) để kịp làm hồ sơ thanh toán định kỳ trước ngày 15 hằng tháng.</t>
  </si>
  <si>
    <t>- Giám sát hành trình: Kiểm tra ngẫu nhiên Camera/GPS mỗi ngày để đảm bảo tài xế đi đúng lộ trình và không có hành vi vi phạm (lái xe quá tốc độ, dừng đỗ sai quy định).</t>
  </si>
  <si>
    <t>Thông tin lịch trình cho các bên liên quan (Tài xế, Bảo mẫu, Người đề xuất).</t>
  </si>
  <si>
    <t>- Hồ sơ bảo hiểm: Khi có sự cố va chạm xe nội bộ, phải gọi ngay hotline bảo hiểm MIC để được hướng dẫn giám định tại hiện trường, tránh tự ý sửa chữa dẫn đến bị từ chối bồi thường.</t>
  </si>
  <si>
    <t>Làm hồ sơ thanh toán, tạm ứng/hoàn ứng, xăng xe, bảo trì...</t>
  </si>
  <si>
    <t>51B 519.77</t>
  </si>
  <si>
    <t>Người đề xuất in bản final và trình ký Trưởng đơn vị (TĐV).</t>
  </si>
  <si>
    <t>SK: RL3DLT6MMNAR33918
SM: NAP69252DURATORQ4D225H</t>
  </si>
  <si>
    <r>
      <rPr>
        <b/>
        <u/>
        <sz val="13"/>
        <color rgb="FF1155CC"/>
        <rFont val="Times New Roman"/>
      </rPr>
      <t>Link File Hàng hóa</t>
    </r>
  </si>
  <si>
    <t>https://drive.google.com/file/d/1IBL4Us4l_e9riPqEJHsJBW9FqjEpMWau/view?usp=sharing
https://drive.google.com/file/d/1kMbo2VuLHAjRKFsL7Xf9TX-Y07DdVXqU/view?usp=sharing</t>
  </si>
  <si>
    <t>Scan và lưu trữ hồ sơ điện tử.</t>
  </si>
  <si>
    <t>https://drive.google.com/file/d/1wRfk2fuj_ZkvaC1mIMQVy1BtdKkhqwZF/view?usp=drive_link
https://drive.google.com/file/d/1oTTfuqqPnivzM9B-AsgVPTCMNIlVGd8V/view?usp=drive_link</t>
  </si>
  <si>
    <t>https://drive.google.com/file/d/1TlVQjAjTlhJ8aYElVfvCyFJzOy5POO3K/view?usp=sharing</t>
  </si>
  <si>
    <t>PHẦN 5: QUY TRÌNH ĐƯA RƯỚC HỌC SINH (D2D)</t>
  </si>
  <si>
    <t>51B 145.58</t>
  </si>
  <si>
    <t>Trường Tiểu học Dân lập Việt Mỹ</t>
  </si>
  <si>
    <t>Giai đoạn</t>
  </si>
  <si>
    <t>SK: RL3MLTGMCERR33939
SM: E8P37591DURATORQ4D243H</t>
  </si>
  <si>
    <t>Thời gian</t>
  </si>
  <si>
    <t>Nội dung công việc chi tiết</t>
  </si>
  <si>
    <t>Mục tiêu &amp; Lưu ý</t>
  </si>
  <si>
    <r>
      <rPr>
        <u/>
        <sz val="13"/>
        <color rgb="FF1155CC"/>
        <rFont val="Times New Roman"/>
      </rPr>
      <t xml:space="preserve">Phiếu đề nghị Điều vận (Online)
</t>
    </r>
    <r>
      <rPr>
        <sz val="13"/>
        <rFont val="Times New Roman"/>
      </rPr>
      <t xml:space="preserve">Kết quả: [VA Schools] Đề nghị Điều vận  (Câu trả lời)
Phiếu đề nghị Điều vận (Bản in trình ký): Đề nghị điều vận.xlsx
Hướng dẫn chi tiết: </t>
    </r>
    <r>
      <rPr>
        <u/>
        <sz val="13"/>
        <color rgb="FF1155CC"/>
        <rFont val="Times New Roman"/>
      </rPr>
      <t>https://app.notion.com/p/36fe79c44e0780e29a5aeb2295714437?v=36fe79c44e07803c8f45000cb80f1e10&amp;source=copy_link</t>
    </r>
  </si>
  <si>
    <t>GIAI ĐOẠN 1: CHUẨN BỊ NHÀ CUNG CẤP (Tháng 1 – Tháng 3)</t>
  </si>
  <si>
    <t>https://drive.google.com/file/d/1FvRmYj-AU8ObyfY0fPAWTS5qIzlGJ0tp/view?usp=drive_link
https://drive.google.com/file/d/1c5biwG_hH5xyn0Pxfs2TjGXTcpBKfd7W/view?usp=drive_link</t>
  </si>
  <si>
    <t>Trước 15/03</t>
  </si>
  <si>
    <t>Rà soát chất lượng NCC cũ. Nếu không đạt, tiến hành tìm kiếm NCC mới.</t>
  </si>
  <si>
    <t>Đảm bảo có đơn vị vận tải uy tín và giá tốt trước khi nhận đăng ký từ phụ huynh.</t>
  </si>
  <si>
    <t>15/03 - 30/03</t>
  </si>
  <si>
    <t>Khảo sát ít nhất 03 NCC; Đánh giá năng lực theo bộ tiêu chí.</t>
  </si>
  <si>
    <t>Đánh giá lựa chọn nhà cung cấp.xlsx</t>
  </si>
  <si>
    <t>https://drive.google.com/file/d/1yD0aeVN7_PsTxeI5So6m5FUh3Bm5PaKJ/view?usp=drive_link
https://drive.google.com/file/d/11kde0PrLPjDYfFDkOfQEoIXguTSzy4xn/view?usp=drive_link</t>
  </si>
  <si>
    <t>Bước</t>
  </si>
  <si>
    <t>Tên Quy Trình Vận Hành</t>
  </si>
  <si>
    <t>Người Thực Hiện</t>
  </si>
  <si>
    <t>Mục Tiêu &amp; Lưu Ý Vận Hành Cốt Lõi</t>
  </si>
  <si>
    <t>Hướng Dẫn Thao Tác Chi Tiết &amp; Biểu Mẫu Link</t>
  </si>
  <si>
    <t>Bước 1</t>
  </si>
  <si>
    <t>https://drive.google.com/file/d/1B255C5xjEprcq8P5tW5hUZdMpZXzxrKa/view?usp=drive_link
https://drive.google.com/file/d/15co4quUitlGofK00AXVLgDCinxrHYV3B/view?usp=drive_link</t>
  </si>
  <si>
    <t xml:space="preserve"> Hoàn tất ký Hợp đồng nguyên tắc. Phải có sự phê duyệt từ Ban Pháp chế và Tổng Giám đốc.</t>
  </si>
  <si>
    <t>Tiếp nhận thông tin Điều vận</t>
  </si>
  <si>
    <t>MỐC ĐỎ - Hoàn thành pháp lý</t>
  </si>
  <si>
    <t>Người đề xuất</t>
  </si>
  <si>
    <t>GIAI ĐOẠN 2: THU THẬP NHU CẦU &amp; THỐNG NHẤT KHUNG GIỜ (Tháng 4 – Tháng 5)</t>
  </si>
  <si>
    <t>Ghi nhận thời gian thực tế đề xuất, đảm bảo công bằng về cơ hội tiếp nhận thông tin giữa các Đơn vị/Phòng ban.</t>
  </si>
  <si>
    <t>T4 - T5</t>
  </si>
  <si>
    <t>Phối hợp với BP Tuyển sinh để lấy danh sách học sinh (HS) đăng ký online (Google Form).</t>
  </si>
  <si>
    <t>Thu thập "đầu bài" lên tuyến</t>
  </si>
  <si>
    <t>Điền thông tin đề xuất vào đường dẫn sau:
 👉 Link Form Google: https://docs.google.com/forms/d/e/1FAIpQLSf4ZKB-bfyB3lKitxxLdEX8JuCPFeYIWrpVIT71Mwi7PJ0F-w/viewform
 Theo dõi tiến độ điều phối tại:
 👉 Link Google Sheet: https://docs.google.com/spreadsheets/d/12dWG4EfNr-WYweLJ9ahDnVv4Hc9XKj-c62j-dYy_dcG/edit?usp=sharing</t>
  </si>
  <si>
    <t>Tiếp nhận file tổng hợp danh sách HS bao gồm: Họ tên, Địa chỉ đón/trả chính xác, Số điện thoại phụ huynh.</t>
  </si>
  <si>
    <t>MỐC ĐỎ - Chốt dữ liệu thô</t>
  </si>
  <si>
    <t>Bước 2</t>
  </si>
  <si>
    <t>51M 23494</t>
  </si>
  <si>
    <t>Kiểm tra lịch / nguồn lực</t>
  </si>
  <si>
    <t>Làm việc với Ban Giám hiệu (BGH) để chốt: Giờ có mặt tại trường và Giờ xe xuất phát về. (Lưu ý: Giờ này có thể khác nhau giữa các cơ sở).</t>
  </si>
  <si>
    <t>Thống nhất khung giờ vận hành</t>
  </si>
  <si>
    <t>NV Điều vận</t>
  </si>
  <si>
    <t>GIAI ĐOẠN 3: THIẾT KẾ LỘ TRÌNH &amp; DUYỆT NGÂN SÁCH (Tháng 6 – Tháng 7)</t>
  </si>
  <si>
    <t>TOYOTA HIACE TRH213L - Bạc</t>
  </si>
  <si>
    <t>Công ty CP Đầu tư Phát triển Thương mại Viễn Đông</t>
  </si>
  <si>
    <t>SM: 2TR6944346
SK: RL4RX13P2A9002980</t>
  </si>
  <si>
    <t>Kiểm tra tính sẵn sàng của đội xe nội bộ. Nếu thiếu xe, chủ động lên phương án thuê ngoài (Taxi/Grab/NCC xe dịch vụ) để không làm gián đoạn công việc công tác.</t>
  </si>
  <si>
    <t>Chuyển danh sách học sinh cho NCC.</t>
  </si>
  <si>
    <t>Bắt đầu khảo sát thực địa. Tối ưu hóa tuyến đường để tiết kiệm chi phí và thời gian cho HS.</t>
  </si>
  <si>
    <t>15/06 - 20/06</t>
  </si>
  <si>
    <t>NCC khảo sát thực tế ngõ hẻm, vị trí nhà HS (Vào khung giờ cao điểm).</t>
  </si>
  <si>
    <r>
      <rPr>
        <sz val="11"/>
        <color rgb="FF333333"/>
        <rFont val="Arial"/>
      </rPr>
      <t xml:space="preserve">1. Tạo lịch trên Google Calendar chung theo cấu trúc chuẩn:
 👉 Syntax: [Tên Tài Xế] - [Đối tượng sử dụng] - [Tên hoạt động/Sự kiện]
 2. Điền đầy đủ mô tả lịch trình bắt buộc:
</t>
    </r>
    <r>
      <rPr>
        <b/>
        <sz val="11"/>
        <color rgb="FF333333"/>
        <rFont val="Arial"/>
      </rPr>
      <t xml:space="preserve"> Mẫu Calendar:</t>
    </r>
    <r>
      <rPr>
        <sz val="11"/>
        <color rgb="FF333333"/>
        <rFont val="Arial"/>
      </rPr>
      <t xml:space="preserve">
Trưởng đoàn: Hằng - 0338364540
Thời gian: 09:00 - 11:00 ngày 22/09/2026 (Thứ 3)
Địa điểm xuất phát: VA Tân Bình - 806 Âu Cơ, Phường Tân Bình, TP HCM.
Địa điểm đến: UBND P. Hạnh Thông, UBND P. Thông Tây Hội
Lộ trình: Biếu rau bánh
Số lượng: 2 người
Thông tin xe: TX Hồ Tuấn Kiệt - 51H 360.95 - 0773215485</t>
    </r>
  </si>
  <si>
    <t>Đảm bảo xe vào được hẻm</t>
  </si>
  <si>
    <t>20/06 - 25/06</t>
  </si>
  <si>
    <t>BP Điều vận thẩm định tuyến: &lt; 90p/chuyến, ưu tiên đường lớn, tránh các điểm đen kẹt xe.</t>
  </si>
  <si>
    <t>Tối ưu thời gian di chuyển</t>
  </si>
  <si>
    <t>Trước 10/07</t>
  </si>
  <si>
    <t>Phòng Kinh doanh lập tờ trình doanh thu dự kiến và phần bù lỗ chi phí gửi Ban Tổng giám đốc phê duyệt.</t>
  </si>
  <si>
    <t>Phê duyệt ngân sách vận hành và chính sách giảm phí xe</t>
  </si>
  <si>
    <t>Cuối tháng 7</t>
  </si>
  <si>
    <t>BP Tư vấn hướng dẫn PH ký hợp đồng dịch vụ trực tiếp với NCC dựa trên các tuyến đã chốt.</t>
  </si>
  <si>
    <t>Hoàn tất thủ tục với Phụ huynh</t>
  </si>
  <si>
    <t>GIAI ĐOẠN 4: VẬN HÀNH &amp; KIỂM SOÁT CHẤT LƯỢNG (Tháng 8 – Kết thúc năm học)</t>
  </si>
  <si>
    <r>
      <rPr>
        <b/>
        <sz val="11"/>
        <color rgb="FF333333"/>
        <rFont val="Arial"/>
      </rPr>
      <t>Mẫu Calendar lịch tour kết hợp quay đầu:</t>
    </r>
    <r>
      <rPr>
        <sz val="11"/>
        <color rgb="FF333333"/>
        <rFont val="Arial"/>
      </rPr>
      <t xml:space="preserve">
Trưởng đoàn: Hồ Việt Đức - 0837000120
Địa điểm đi: VA Phú Định - 219 Tùng Thiện Vương, P. Phú Định
Địa điểm đến: VA Bình Thới - 252 Lạc Long Quân, P. Bình Thới
Thời gian: từ 07:15 - 10:30 hằng tuần vào Thứ 5
Lịch trình di chuyển: 
7g15: Đón Nhóm 1 (15 HS) từ VA Phú Định  → (7h45) VA Bình Thới  
8g30: Trả Nhóm 1 (15 HS) từVA Bình Thới  → VA Phú Định
9g00: Đón Nhóm 2 (10 HS) từ VA Phú Định  → (9h30) VA Bình Thới  
10g05: Trả Nhóm 2 (15 HS) từ VA Bình Thới   → VA Phú Định
Ghi chú: </t>
    </r>
  </si>
  <si>
    <t>Bước 3</t>
  </si>
  <si>
    <t>Điều phối phương tiện</t>
  </si>
  <si>
    <t>NV Điều vận
 Tài xế</t>
  </si>
  <si>
    <t>NV Điều vận phải phối hợp Tài xế nội bộ kiểm tra xe thực tế và hồ sơ từng xe (Đăng kiểm, Bảo hiểm dân sự, Bằng lái tài xế) và hồ sơ Giám sát viên và lưu file scan.</t>
  </si>
  <si>
    <t>Đảm bảo ổn định về mặt CSVC và Nhân sự.</t>
  </si>
  <si>
    <t>Tối ưu hóa sơ đồ chạy xe, khớp lệnh chính xác giữa các bên, hạn chế tối đa việc xe chạy rỗng không tải hoặc bị trùng lịch chéo giữa các phòng ban.</t>
  </si>
  <si>
    <t>Sắp xếp xe nội bộ ưu tiên trước. Trong trường hợp thuê ngoài, tiến hành liên hệ NCC ngoài (thương lượng giá tối ưu, chốt đặt xe).
 Thông tin lịch trình chính xác cho các bên liên quan (Gửi SMS/Zalo cho Tài xế, NCC và Người đề xuất để khớp thông tin chuyến).</t>
  </si>
  <si>
    <t>Tuần M8/CW03 (Tuần đầu vận hành)</t>
  </si>
  <si>
    <t>NV Điều vận phải có mặt tại các điểm trực (cổng trường) để hỗ trợ điều phối, khớp lệnh giữa tài xế và giám thị.</t>
  </si>
  <si>
    <t>Bước 4</t>
  </si>
  <si>
    <t>Đảm bảo tuần đầu suôn sẻ</t>
  </si>
  <si>
    <t>Tổng hợp chi phí &amp; Thanh toán</t>
  </si>
  <si>
    <t>T8, T9, T10</t>
  </si>
  <si>
    <t>Kiểm soát nghiêm ngặt ngân sách vận hành, đối soát chuẩn số km/lộ trình chạy thực tế với tài xế và nhà xe ngoài trước khi chuyển giao bộ chứng từ cho Kế toán.</t>
  </si>
  <si>
    <t>Kiểm tra đột xuất 40% số chuyến xe.
Nội dung kiểm tra: Thái độ tài xế, việc thắt dây an toàn, vệ sinh xe, việc điểm danh của bảo mẫu.</t>
  </si>
  <si>
    <t>1. Tổng hợp chi phí thực tế phát sinh trong quá trình điều phối điều vận (Phí cầu đường, xăng dầu phát sinh, vé cầu phà, chi phí thuê xe ngoài nếu có).
 2. Hoàn thiện bộ hồ sơ đề nghị thanh toán, hồ sơ tạm ứng/hoàn ứng, lập tờ trình duyệt chi và trình ký Trưởng đơn vị Bộ phận Điều vận.</t>
  </si>
  <si>
    <t>Siết chặt kỷ luật 3 tháng đầu</t>
  </si>
  <si>
    <t>T11 - Hết năm</t>
  </si>
  <si>
    <t>Duy trì tỷ lệ kiểm tra đột xuất 10% số chuyến.</t>
  </si>
  <si>
    <t>Đảm bảo duy trì chất lượng</t>
  </si>
  <si>
    <t>Bước 5</t>
  </si>
  <si>
    <t>Lưu trữ hồ sơ chứng từ</t>
  </si>
  <si>
    <t>Phát sinh</t>
  </si>
  <si>
    <t>https://drive.google.com/file/d/1bamM_bIKM9GJ5mEVPdk1AmcJBB1B9qBW/view?usp=drive_link
https://drive.google.com/file/d/1LgzmTRUMQW9rUh9xZh8KMXb2wfpYZdsU/view?usp=drive_link</t>
  </si>
  <si>
    <t>Tiếp nhận yêu cầu đổi địa chỉ đón/trả của PH (thường phát sinh sau 1 tháng đi học) và làm việc với NCC để điều chỉnh lộ trình nếu cần.</t>
  </si>
  <si>
    <t>Đảm bảo tính minh bạch, sẵn sàng đầy đủ dữ liệu gốc nhằm phục vụ công tác kiểm toán nội bộ hoặc rà soát đột xuất các chi phí phát sinh trong năm học.</t>
  </si>
  <si>
    <t>Linh hoạt theo nhu cầu PH</t>
  </si>
  <si>
    <t>1. Tiến hành Scan toàn bộ hóa đơn bán lẻ, vé cầu đường, lệnh điều xe, lịch trình chạy thực tế có xác nhận của trưởng đoàn thành định dạng file PDF sạch.
 2. Đính kèm file scan trực tiếp vào mục Files &amp; media của thẻ quản lý Notion hoặc lưu trữ tập trung trên thư mục Drive điện tử dùng chung của bộ phận.</t>
  </si>
  <si>
    <t>Bước 6</t>
  </si>
  <si>
    <t>Đánh giá &amp; Rút kinh nghiệm</t>
  </si>
  <si>
    <t>NV Điều vận
 Tài xế
 Người đề xuất</t>
  </si>
  <si>
    <t>Nâng cao chất lượng dịch vụ điều vận nội bộ, ghi nhận phản hồi thực tế về thái độ tài xế, chất lượng vệ sinh xe và tính chính xác về mặt thời gian đưa đón.</t>
  </si>
  <si>
    <t>1. Vào ngày cuối mỗi tháng, tổng hợp tỷ lệ hoàn thành chuyến đúng giờ, phân tích số ca phát sinh sự cố đột xuất hoặc xử lý muộn.
 2. Gửi form khảo sát nhanh hiệu quả điều vận cho các nhân sự/phòng ban vừa sử dụng xe trong kỳ để lấy ý kiến và liên tục cải tiến tối ưu quy trình.</t>
  </si>
  <si>
    <t>⚠️ QUY ĐỊNH BẮT BUỘC: Nhân sự thuộc các phòng ban khi có nhu cầu sử dụng dịch vụ xe P2P/Business Trip phải gửi đề xuất thông qua Form Tiếp nhận (Bước 1) TRƯỚC ÍT NHẤT 24 GIỜ (đối với chuyến nội tỉnh) hoặc TRƯỚC 72 GIỜ (đối với chuyến ngoại tỉnh/sự kiện lớn) để Bộ phận Điều vận chủ động sắp xếp nguồn lực tốt nhất.</t>
  </si>
  <si>
    <t>LƯU Ý:</t>
  </si>
  <si>
    <t>- Dữ liệu địa chỉ: Phải nhắc BP Tư vấn cung cấp địa chỉ có định vị Google Maps hoặc mô tả kỹ (ví dụ: Hẻm xe hơi vào được không). Điều này giúp NCC không bị sai lệch khi khảo sát. Cần khảo sát thực tế vào khung giờ Vận hành.</t>
  </si>
  <si>
    <t>https://drive.google.com/file/d/1QnHeZSWiuKG3putTFOSZhRcJkCRS0to1/view?usp=sharing</t>
  </si>
  <si>
    <t>https://drive.google.com/file/d/17U9-YgmfdSEF_cr8J8DuTWKJ7-Rngj2D/view?usp=sharing</t>
  </si>
  <si>
    <t>https://drive.google.com/file/d/1j2tyd2JOOGP_zq0EDxPy5Xj23WziJ7yb/view?usp=drive_link</t>
  </si>
  <si>
    <t>Nội dung file</t>
  </si>
  <si>
    <t>Link</t>
  </si>
  <si>
    <t>Phân loại</t>
  </si>
  <si>
    <t>Tìm hiểu NCC dịch vụ xe đưa rước và vận chuyển hàng hóa</t>
  </si>
  <si>
    <t>PHẦN 6: THÔNG TIN NHÀ CUNG CẤP</t>
  </si>
  <si>
    <t>Có hợp đồng thuê xe với TiH Dân lập Việt Mỹ hết hạn 2018, BKS cũ 53S 8452</t>
  </si>
  <si>
    <t>NCC dịch vụ xe đưa rước</t>
  </si>
  <si>
    <t xml:space="preserve">Thông tin NCC </t>
  </si>
  <si>
    <t>MST</t>
  </si>
  <si>
    <t>Liên hệ</t>
  </si>
  <si>
    <t xml:space="preserve">Điều vận </t>
  </si>
  <si>
    <r>
      <rPr>
        <b/>
        <sz val="15"/>
        <color theme="1"/>
        <rFont val="Times New Roman"/>
      </rPr>
      <t xml:space="preserve">Doanh số 
</t>
    </r>
    <r>
      <rPr>
        <b/>
        <sz val="15"/>
        <color rgb="FFFF0000"/>
        <rFont val="Times New Roman"/>
      </rPr>
      <t xml:space="preserve">(Từ ngày 01/01/2025 - 01/10/2025) </t>
    </r>
  </si>
  <si>
    <t>51K 984.58</t>
  </si>
  <si>
    <t>VINFAST VF9 PLUS - Xanh rêu</t>
  </si>
  <si>
    <r>
      <rPr>
        <sz val="12"/>
        <rFont val="Arial"/>
      </rPr>
      <t xml:space="preserve">Thông tin về quy trình SBS, profile: https://drive.google.com/drive/folders/1kua7BLURiZAqjayfZSKBa3lmuKX5DkFo
Thông tin hợp đồng, biên bản làm việc SBS: </t>
    </r>
    <r>
      <rPr>
        <u/>
        <sz val="12"/>
        <color rgb="FF1155CC"/>
        <rFont val="Arial"/>
      </rPr>
      <t>https://drive.google.com/drive/folders/1NipwlwgxG8y-JCejQ7dst1H7vNcn5biw?usp=sharing</t>
    </r>
  </si>
  <si>
    <r>
      <rPr>
        <b/>
        <sz val="15"/>
        <color theme="1"/>
        <rFont val="Times New Roman"/>
      </rPr>
      <t xml:space="preserve">Chủng loại
</t>
    </r>
    <r>
      <rPr>
        <i/>
        <sz val="15"/>
        <color theme="1"/>
        <rFont val="Times New Roman"/>
      </rPr>
      <t>(VD: in ấn, may mặc, ...)</t>
    </r>
  </si>
  <si>
    <t>Hợp đồng</t>
  </si>
  <si>
    <r>
      <rPr>
        <b/>
        <sz val="15"/>
        <color theme="1"/>
        <rFont val="Times New Roman"/>
      </rPr>
      <t xml:space="preserve">Ghi chú
</t>
    </r>
    <r>
      <rPr>
        <i/>
        <sz val="15"/>
        <color theme="1"/>
        <rFont val="Times New Roman"/>
      </rPr>
      <t>(VD: Hạng mục, ...)</t>
    </r>
  </si>
  <si>
    <r>
      <rPr>
        <b/>
        <sz val="10"/>
        <color rgb="FF0000FF"/>
        <rFont val="Times New Roman"/>
      </rPr>
      <t>SK: RLLV2CKA4PV012422
SM: VFBALB236270104 / VFBALA236230093</t>
    </r>
    <r>
      <rPr>
        <b/>
        <sz val="10"/>
        <color rgb="FF0000FF"/>
        <rFont val="Times New Roman"/>
      </rPr>
      <t xml:space="preserve">
</t>
    </r>
    <r>
      <rPr>
        <b/>
        <sz val="10"/>
        <color rgb="FF0000FF"/>
        <rFont val="Times New Roman"/>
      </rPr>
      <t>Serial Pin: V9L3094230624D0017</t>
    </r>
  </si>
  <si>
    <t>Công Ty Bảo Hiểm MIC Bình Dương</t>
  </si>
  <si>
    <t>0102385623-028</t>
  </si>
  <si>
    <t>Ms. Trân - 0375 582 855
CÔNG TY BẢO HIỂM MIC BÌNH DƯƠNG
Tầng 5, Tòa nhà Viettel, 277 Đại Lộ Bình Dương, P Thủ Dầu Một, TP.HCM
Người nhận: Trân 0939978239</t>
  </si>
  <si>
    <t>24 tháng</t>
  </si>
  <si>
    <t>30.000 km (Cty CP ĐT TM &amp; DV ô tô Đông Sài Gòn)</t>
  </si>
  <si>
    <t>https://drive.google.com/file/d/1Bbyum6OKdk-ztxWGsT1XGzcNiQCxWx18/view?usp=drive_link
https://drive.google.com/file/d/1cRfsdqCsIjegKDpEZmGULyou3Ojl9w1p/view?usp=drive_link</t>
  </si>
  <si>
    <t>Bảo hiểm xe</t>
  </si>
  <si>
    <t>Danh sách học sinh trung chuyển và đưa đón của phòng Tư vấn năm học 2024-2025</t>
  </si>
  <si>
    <t>DS HS 24-25_ PTV</t>
  </si>
  <si>
    <r>
      <rPr>
        <sz val="13"/>
        <color theme="1"/>
        <rFont val="Times New Roman"/>
      </rPr>
      <t xml:space="preserve">Tháng 03: 51A 796.68l; 51H 360.95
Tháng 05: 51A 832.43
Tháng 06: 51K 574.66
Tháng 08: 51K 984.58; 51B 513.01; 51B 513.82
Tháng 09: 51M 23494
Tháng 11: 51B 145.58; 51B 149.84
Tháng 12: 51B 519.77
</t>
    </r>
    <r>
      <rPr>
        <b/>
        <i/>
        <sz val="13"/>
        <color theme="1"/>
        <rFont val="Times New Roman"/>
      </rPr>
      <t>Liên hệ làm hồ sơ bảo hiểm trước khi hết hạn 15 ngày để đảm bảo tiến độ cấp hồ sơ gấp và thanh toán</t>
    </r>
  </si>
  <si>
    <t>Công Ty TNHH Thương Mại Dịch Vụ Cơ Khí Sửa Chữa Ô Tô Thành Nghiệp</t>
  </si>
  <si>
    <t>0314303453</t>
  </si>
  <si>
    <t>Mr. Kiệt - 0968 630 632</t>
  </si>
  <si>
    <t>Bảo trì bảo dưỡng / Sửa chữa</t>
  </si>
  <si>
    <r>
      <rPr>
        <b/>
        <sz val="13"/>
        <color theme="1"/>
        <rFont val="Times New Roman"/>
      </rPr>
      <t>Thanh toán công nợ</t>
    </r>
    <r>
      <rPr>
        <sz val="13"/>
        <color theme="1"/>
        <rFont val="Times New Roman"/>
      </rPr>
      <t xml:space="preserve"> trong vòng </t>
    </r>
    <r>
      <rPr>
        <b/>
        <sz val="13"/>
        <color theme="1"/>
        <rFont val="Times New Roman"/>
      </rPr>
      <t>05 ngày</t>
    </r>
    <r>
      <rPr>
        <sz val="13"/>
        <color theme="1"/>
        <rFont val="Times New Roman"/>
      </rPr>
      <t xml:space="preserve"> kể từ ngày nhận đủ hồ sơ thanh toán: Hóa đơn VAT; Quyết toán sửa chữa, Biên bản bàn giao xe sau sửa chữa.</t>
    </r>
  </si>
  <si>
    <t>Công Ty Cổ Phần Bãi Bằng</t>
  </si>
  <si>
    <t>https://drive.google.com/file/d/1bAZJRGKVs8k-p-bCScNefhgtTOXIEWrO/view?usp=drive_link</t>
  </si>
  <si>
    <t>Mr. Vỹ - 0902 860 062</t>
  </si>
  <si>
    <t>Gửi xe (Từ 01/07/2025 - 01/10/2025)</t>
  </si>
  <si>
    <r>
      <rPr>
        <b/>
        <sz val="13"/>
        <color theme="1"/>
        <rFont val="Times New Roman"/>
      </rPr>
      <t>Hồ sơ thanh toán</t>
    </r>
    <r>
      <rPr>
        <sz val="13"/>
        <color theme="1"/>
        <rFont val="Times New Roman"/>
      </rPr>
      <t xml:space="preserve"> hoàn thiện vào </t>
    </r>
    <r>
      <rPr>
        <b/>
        <sz val="13"/>
        <color theme="1"/>
        <rFont val="Times New Roman"/>
      </rPr>
      <t>ngày 25 tháng trước</t>
    </r>
    <r>
      <rPr>
        <sz val="13"/>
        <color theme="1"/>
        <rFont val="Times New Roman"/>
      </rPr>
      <t xml:space="preserve">.
</t>
    </r>
    <r>
      <rPr>
        <b/>
        <sz val="13"/>
        <color theme="1"/>
        <rFont val="Times New Roman"/>
      </rPr>
      <t>Thanh toán định kỳ</t>
    </r>
    <r>
      <rPr>
        <sz val="13"/>
        <color theme="1"/>
        <rFont val="Times New Roman"/>
      </rPr>
      <t xml:space="preserve"> vào ngày </t>
    </r>
    <r>
      <rPr>
        <b/>
        <sz val="13"/>
        <color theme="1"/>
        <rFont val="Times New Roman"/>
      </rPr>
      <t>01 hằng tháng</t>
    </r>
    <r>
      <rPr>
        <sz val="13"/>
        <color theme="1"/>
        <rFont val="Times New Roman"/>
      </rPr>
      <t>.</t>
    </r>
  </si>
  <si>
    <t>Công Ty Cổ Phần Ánh Dương Việt Nam – Vinasun</t>
  </si>
  <si>
    <t>0302035520</t>
  </si>
  <si>
    <t xml:space="preserve">Báo cáo về pháp lý và thống kê hoạt động của xe trong khung giờ cố định đưa đón học sinh </t>
  </si>
  <si>
    <t>candyvinasun@gmail.com (Ms. Ly -  Tel: 39526414 or 38277178 (ext: 266)) 
linhkinhdoanhvns01@gmail.com / linhnguyen34137@gmail.com (Mr.Linh - Mobile or Zalo: +84 39 269 78 68)</t>
  </si>
  <si>
    <t xml:space="preserve">Pháp lý + Thống kê hoạt động xe </t>
  </si>
  <si>
    <t>TAXI</t>
  </si>
  <si>
    <r>
      <rPr>
        <sz val="13"/>
        <color theme="1"/>
        <rFont val="Times New Roman"/>
      </rPr>
      <t xml:space="preserve">Thẻ Taxi: 
- Vào web https://card.vietinbank.vn/corp/corp/Logon.aspx tải sao kê giao dịch.
Tên đăng nhập: 022137HCM
Mật khẩu: 123456abC@
- Cuối tháng nhận được hóa đơn, kiểm tra thông tin chuyến đi trong tháng, làm báo cái Chi phí sử dụng của các Phòng ban/Cá nhân. Hoàn thiện hồ sơ thanh toán: Sao kê giao dịch + Báo cáo + hóa đơn + đề nghị thanh toán chuyển qua cho kế toán.
- </t>
    </r>
    <r>
      <rPr>
        <b/>
        <sz val="13"/>
        <color theme="1"/>
        <rFont val="Times New Roman"/>
      </rPr>
      <t>Thanh toán trước ngày 15 hằng tháng</t>
    </r>
    <r>
      <rPr>
        <sz val="13"/>
        <color theme="1"/>
        <rFont val="Times New Roman"/>
      </rPr>
      <t xml:space="preserve">.
</t>
    </r>
  </si>
  <si>
    <t>https://drive.google.com/file/d/1FoNf2gMfnhHFjOWezMqKXRnRxNEqlseJ/view?usp=drive_link
https://drive.google.com/file/d/1UsmB8UZMEgZlyFFsUCpPcivzBGhif9JQ/view?usp=drive_link</t>
  </si>
  <si>
    <t>Công Ty Cổ Phần SBS Transport</t>
  </si>
  <si>
    <t>0318491374</t>
  </si>
  <si>
    <t xml:space="preserve">Hotline:   
+84 0931 039 039
+84 0931 026 026
</t>
  </si>
  <si>
    <t>D2D, Xe ngoại khóa &amp; công tác</t>
  </si>
  <si>
    <t xml:space="preserve">Hai bên thống nhất 01 bảng kê công nợ duy nhất 
+ Ngày 23 hằng tháng: SBS gửi bảng kê công nợ;
+ Trong 05 ngày: VA Schools kiểm tra, đối chiếu và phản hồi;
+ Ngày 28: Chốt bảng kê nghĩa vụ thanh toán &amp; lập hóa đơn nháp;
+ Ngày 30: Hai bên chốt và xuất hóa đơn chính thức.
Chi phí hỗ trợ tuyển dụng (2% doanh thu):
+ Gửi kèm bảng kê công nợ ngày 23;
+ Chốt xuất hóa đơn cùng kỳ vào ngày 30 hằng quý.
</t>
  </si>
  <si>
    <t>Công Ty TNHH Đăng Hồng Phát</t>
  </si>
  <si>
    <t>0310056556</t>
  </si>
  <si>
    <t>Ms. Duyên - 0903111109</t>
  </si>
  <si>
    <t xml:space="preserve">Danh sách điểm danh học sinh </t>
  </si>
  <si>
    <t>Xe Ban Tổng Giám đốc</t>
  </si>
  <si>
    <t>2025_File in_DS điểm danh học sinh.xlsx</t>
  </si>
  <si>
    <t>Chi phí xe năm 2025</t>
  </si>
  <si>
    <t>51B 149.84</t>
  </si>
  <si>
    <t>Xe ngoại khóa &amp; công tác (Từ 01/06/2025 - 01/10/2025)</t>
  </si>
  <si>
    <t>TOYOTA HIACE - Bạc</t>
  </si>
  <si>
    <t>Trường THCS Việt Mỹ</t>
  </si>
  <si>
    <t>SK: JTFSS22P700137596
SM: 2KDA625226</t>
  </si>
  <si>
    <t>17g27 ngày 17/11/2025 – 17g27 ngày 17/11/2026</t>
  </si>
  <si>
    <t>5.000 km (Tại Garage Thái Tỷ)</t>
  </si>
  <si>
    <t>Xe bàn giao Vũng Tàu</t>
  </si>
  <si>
    <t>51A 832.43</t>
  </si>
  <si>
    <t>MAZDA 3BL AT - Đỏ</t>
  </si>
  <si>
    <t>SK: RN2BL4ZA4EC005748
SM: B36858Z6</t>
  </si>
  <si>
    <r>
      <rPr>
        <sz val="13"/>
        <color theme="1"/>
        <rFont val="Times New Roman"/>
      </rPr>
      <t xml:space="preserve">Hóa đơn VAT xuất từ 24 - 48h sau khi kết thúc chuyến xe.
+ Chốt </t>
    </r>
    <r>
      <rPr>
        <b/>
        <sz val="13"/>
        <color theme="1"/>
        <rFont val="Times New Roman"/>
      </rPr>
      <t>Bảng kê</t>
    </r>
    <r>
      <rPr>
        <sz val="13"/>
        <color theme="1"/>
        <rFont val="Times New Roman"/>
      </rPr>
      <t xml:space="preserve"> công nợ tháng trước vào </t>
    </r>
    <r>
      <rPr>
        <b/>
        <sz val="13"/>
        <color theme="1"/>
        <rFont val="Times New Roman"/>
      </rPr>
      <t>ngày 1-5 hằng tháng</t>
    </r>
    <r>
      <rPr>
        <sz val="13"/>
        <color theme="1"/>
        <rFont val="Times New Roman"/>
      </rPr>
      <t xml:space="preserve">;
+ </t>
    </r>
    <r>
      <rPr>
        <b/>
        <sz val="13"/>
        <color theme="1"/>
        <rFont val="Times New Roman"/>
      </rPr>
      <t>Công nợ thanh toán 30 ngày</t>
    </r>
    <r>
      <rPr>
        <sz val="13"/>
        <color theme="1"/>
        <rFont val="Times New Roman"/>
      </rPr>
      <t xml:space="preserve"> kể từ ngày nhận đủ hồ sơ thanh toán
+ Quy trình</t>
    </r>
    <r>
      <rPr>
        <b/>
        <sz val="13"/>
        <color theme="1"/>
        <rFont val="Times New Roman"/>
      </rPr>
      <t xml:space="preserve"> thanh toán nội bộ trước ngày 15 hằng tháng</t>
    </r>
    <r>
      <rPr>
        <sz val="13"/>
        <color theme="1"/>
        <rFont val="Times New Roman"/>
      </rPr>
      <t xml:space="preserve">.
</t>
    </r>
  </si>
  <si>
    <t>Tổng hợp ghi chú các đầu mục CV 
Lịch trình xe đưa đón HS + vận chuyển hàng hóa 
Chi phí mua hàng + điều vận xe 
Lịch trình xe theo tuần (Schedule)</t>
  </si>
  <si>
    <t>LỊCH TRÌNH XE</t>
  </si>
  <si>
    <t>Công Ty TNHH Một Thành Viên Hân Du Travel</t>
  </si>
  <si>
    <t>0311153601</t>
  </si>
  <si>
    <t>Ms. Lý Ngọc Huỳnh -  0903 801 195</t>
  </si>
  <si>
    <t>Xe trung chuyển &amp; Xe ngoại khóa &amp; công tác</t>
  </si>
  <si>
    <t>https://drive.google.com/file/d/1rsPwr4z755qOYLSX3yQFkMFvRtuYMy5j/view?usp=drive_link</t>
  </si>
  <si>
    <r>
      <rPr>
        <sz val="13"/>
        <color theme="1"/>
        <rFont val="Times New Roman"/>
      </rPr>
      <t xml:space="preserve">Hóa đơn VAT xuất từ 24 - 48h sau khi kết thúc chuyến xe.
+ Chốt </t>
    </r>
    <r>
      <rPr>
        <b/>
        <sz val="13"/>
        <color theme="1"/>
        <rFont val="Times New Roman"/>
      </rPr>
      <t>Bảng kê</t>
    </r>
    <r>
      <rPr>
        <sz val="13"/>
        <color theme="1"/>
        <rFont val="Times New Roman"/>
      </rPr>
      <t xml:space="preserve"> công nợ tháng trước vào </t>
    </r>
    <r>
      <rPr>
        <b/>
        <sz val="13"/>
        <color theme="1"/>
        <rFont val="Times New Roman"/>
      </rPr>
      <t>ngày 1-5 hằng tháng</t>
    </r>
    <r>
      <rPr>
        <sz val="13"/>
        <color theme="1"/>
        <rFont val="Times New Roman"/>
      </rPr>
      <t xml:space="preserve">;
+ </t>
    </r>
    <r>
      <rPr>
        <b/>
        <sz val="13"/>
        <color theme="1"/>
        <rFont val="Times New Roman"/>
      </rPr>
      <t>Công nợ thanh toán 30 ngày</t>
    </r>
    <r>
      <rPr>
        <sz val="13"/>
        <color theme="1"/>
        <rFont val="Times New Roman"/>
      </rPr>
      <t xml:space="preserve"> kể từ ngày nhận đủ hồ sơ thanh toán
+ Quy trình</t>
    </r>
    <r>
      <rPr>
        <b/>
        <sz val="13"/>
        <color theme="1"/>
        <rFont val="Times New Roman"/>
      </rPr>
      <t xml:space="preserve"> thanh toán nội bộ trước ngày 15 hằng tháng</t>
    </r>
    <r>
      <rPr>
        <sz val="13"/>
        <color theme="1"/>
        <rFont val="Times New Roman"/>
      </rPr>
      <t xml:space="preserve">.
</t>
    </r>
  </si>
  <si>
    <t>Công Ty Cổ Phần Điện Tử Viễn Thông Ánh Dương (Adsun JSC)</t>
  </si>
  <si>
    <t>0305320484</t>
  </si>
  <si>
    <t>Mr. Trường - 0936689895</t>
  </si>
  <si>
    <t>Thiết bị giám sát hành trình, chống bỏ quên trẻ</t>
  </si>
  <si>
    <t xml:space="preserve">Đăng ký gia hạn gói dịch vụ vào tháng 02 hẳng năm. </t>
  </si>
  <si>
    <t>Công Ty TNHH Thương Mại Dịch Vụ Vận Tải Bá Ngọc</t>
  </si>
  <si>
    <t>3702512300</t>
  </si>
  <si>
    <t>Group zalo: VT Bá Ngọc + Trường Việt Mỹ</t>
  </si>
  <si>
    <t>Vận chuyển hàng hóa</t>
  </si>
  <si>
    <t>Công Ty TNHH Vận Chuyển Sài Gòn 247</t>
  </si>
  <si>
    <t>0318356287</t>
  </si>
  <si>
    <t xml:space="preserve">Nghiên cứu hoạt động đội xe - Họp P.CSVC </t>
  </si>
  <si>
    <t>Group zalo: Vận chuyển hàng VAs/ An Tâm</t>
  </si>
  <si>
    <t>Nghiên cứu về hoạt động đội xe_final.docx</t>
  </si>
  <si>
    <t>Công Ty TNHH Thương Mại Dịch Vụ 286 (Đầm Sen)</t>
  </si>
  <si>
    <t>0313270903</t>
  </si>
  <si>
    <t>Làm việc qua Hotline</t>
  </si>
  <si>
    <t>Gửi xe (Từ 01/01/2025 - 01/06/2025)</t>
  </si>
  <si>
    <t>Công Ty Cổ Phần VETC</t>
  </si>
  <si>
    <t>0106858609</t>
  </si>
  <si>
    <t>Phí cầu đường</t>
  </si>
  <si>
    <t>Công Ty Cổ Phần Ứng Dụng Bản Đồ Việt - Vietmap</t>
  </si>
  <si>
    <t>0304729926</t>
  </si>
  <si>
    <t>Xe 51K 984.58</t>
  </si>
  <si>
    <t>Công Ty Cổ Phần Ahamove</t>
  </si>
  <si>
    <t>0313506115</t>
  </si>
  <si>
    <t>Xe bàn giao Toàn Lực/ Chỉ hỗ trợ mua Bảo hiểm xe</t>
  </si>
  <si>
    <t>Công Ty TNHH Vận Tải Green Red</t>
  </si>
  <si>
    <t>0317909595</t>
  </si>
  <si>
    <t>51K 574.66</t>
  </si>
  <si>
    <t>Chành Tô Châu</t>
  </si>
  <si>
    <t xml:space="preserve">Vận chuyển hàng hóa </t>
  </si>
  <si>
    <t>VINFAST VF9 PLUS - Xám</t>
  </si>
  <si>
    <t>Cần Thơ</t>
  </si>
  <si>
    <t>Công ty CP Giấy Toàn Lực</t>
  </si>
  <si>
    <t>Công Ty TNHH Rồng Việt</t>
  </si>
  <si>
    <t>SK: RLLV2CKA4PV006930
SM: VFBALB232130596VFBALA232040527</t>
  </si>
  <si>
    <t>3500704465</t>
  </si>
  <si>
    <t>Vận chuyển hàng hóa Cần Thơ</t>
  </si>
  <si>
    <t>Báo cáo tổng hợp xe quản lý tới 25CW43</t>
  </si>
  <si>
    <t>25CW43_Báo cáo xe quản lý hiện hữu</t>
  </si>
  <si>
    <t>Công Ty TNHH Toàn Thắng</t>
  </si>
  <si>
    <t>3500659519</t>
  </si>
  <si>
    <t>PVI</t>
  </si>
  <si>
    <t>Vũng Tàu</t>
  </si>
  <si>
    <t>Công Ty Cổ Phần Grab</t>
  </si>
  <si>
    <t>09g00 ngày 02/06/2025
- 09g00 ngày 02/06/2026</t>
  </si>
  <si>
    <t>0312650437</t>
  </si>
  <si>
    <t>Xe ngoại khóa &amp; công tác</t>
  </si>
  <si>
    <t>Công Ty Cổ Phần Dịch Vụ Di Chuyển Xanh SM</t>
  </si>
  <si>
    <t>0110269067</t>
  </si>
  <si>
    <t>Công Ty Cổ Phần Đầu Tư Và Thương Mại Tây Ô Tô</t>
  </si>
  <si>
    <t>0302564475</t>
  </si>
  <si>
    <t>Bảo trì bảo dưỡng</t>
  </si>
  <si>
    <t>https://drive.google.com/file/d/1fMTay92r5GEHll42zW6QdCUKsXkGpdMt/view?usp=sharing</t>
  </si>
  <si>
    <t>Xe 51B 513.01
51B 513.82
51B 519.77</t>
  </si>
  <si>
    <t>Công Ty Cổ Phần Ô Tô An Thái</t>
  </si>
  <si>
    <t>0304538375</t>
  </si>
  <si>
    <t>Danh sách học sinh trung chuyển và đưa đón (File in excel) NH 2025-2026</t>
  </si>
  <si>
    <t>25-26_File in_DS học sinh xe đưa rước.xlsx</t>
  </si>
  <si>
    <t>Xe 51H 360.95</t>
  </si>
  <si>
    <t>Công Ty Cổ Phần Đầu Tư Thương Mại Và Dịch Vụ Ô Tô Đông Sài Gòn – Chi Nhánh Trường Chinh</t>
  </si>
  <si>
    <t>0316801817-002</t>
  </si>
  <si>
    <t>Tập Đoàn Xăng Dầu Việt Nam (Petrolimex)</t>
  </si>
  <si>
    <t>0100107370</t>
  </si>
  <si>
    <t>Dầu DO</t>
  </si>
  <si>
    <t>Công Ty TNHH Thương Mại Dịch Vụ Ô Tô Hoàng Kim</t>
  </si>
  <si>
    <t>0310896509</t>
  </si>
  <si>
    <t>Decal dán xe</t>
  </si>
  <si>
    <t>Công Ty TNHH Rabbit Interior (Garage Phi Long)</t>
  </si>
  <si>
    <t>0317128873</t>
  </si>
  <si>
    <t>Sơn xe + Decal dán xe</t>
  </si>
  <si>
    <t>Danh sách học sinh trung chuyển và đưa đón (File BP Tư vấn - PKD) NH 2025-2026</t>
  </si>
  <si>
    <t>Xe bàn giao VP Tổng cty phụ trách</t>
  </si>
  <si>
    <t>XE ĐƯA ĐÓN NH 2025-2026</t>
  </si>
  <si>
    <t>Lộ trình xe Door-to-Door (SBS) NH 2025-2026</t>
  </si>
  <si>
    <t xml:space="preserve">Lộ trình xe đưa đón học sinh 2025 -2026 _ VA Schools - SBS </t>
  </si>
  <si>
    <t>Lộ trình xe Poin-to-Point (VA Schools) NH 2025-2026</t>
  </si>
  <si>
    <t>[VA] Lộ trình xe trung chuyển 2025 -2026 _ HS chính sách</t>
  </si>
  <si>
    <t>Bảng kê công nợ Đăng Hồng Phát</t>
  </si>
  <si>
    <t>[Đăng Hồng Phát] BOOKING VA Schools.xlsx</t>
  </si>
  <si>
    <t>Bảng kê công nợ Hân Du</t>
  </si>
  <si>
    <t>[Hân Du]_2025_Bảng kê thuê xe ngoại khóa.xlsx</t>
  </si>
  <si>
    <t>Lịch xe CLB Sport (Sáng T7 hằng tuần) năm học 2025 - 2026</t>
  </si>
  <si>
    <t>Đăng ký CLB Thể Dục Thể Thao sáng thứ bảy - Cơ sở Bình Thới (Lạc Long Quân) (Responses)</t>
  </si>
  <si>
    <t>Cập nhật thông tin xe mỗi sáng thứ 6 hằng tuần</t>
  </si>
  <si>
    <t>Trang web app Anta Bus - Quản lý dữ liệu (SBS)</t>
  </si>
  <si>
    <t>https://anta.smartant.asia/#/login</t>
  </si>
  <si>
    <t>Tên đăng nhập:  vaschools@antabus.asia
Mật khẩu: 1q2w3e4r</t>
  </si>
  <si>
    <t>Trang web app Traccar GPS Tracking System</t>
  </si>
  <si>
    <t>https://track.antk.co/login</t>
  </si>
  <si>
    <t>Danh sách đăng ký xe SBS (Xuất từ Google Form) năm học 2025 -2026</t>
  </si>
  <si>
    <t>Registration 2025 - 2026 (VA Schools)</t>
  </si>
  <si>
    <t>Profile SBS (Hợp đồng, Biên bản họp, Thông tin xe/tài xế/bảo mẫu)</t>
  </si>
  <si>
    <t>[SBS] DOOR-TO-DOOR</t>
  </si>
  <si>
    <t>Bảng kê thanh toán thẻ Taxi Vinasun</t>
  </si>
  <si>
    <t>Vinasun_Thẻ Taxi 2025</t>
  </si>
  <si>
    <t>- Vào web https://card.vietinbank.vn/corp/corp/Logon.aspx tải sao kê giao dịch.
Tên đăng nhập: 022137HCM
Mật khẩu: 123456abC@</t>
  </si>
  <si>
    <t>Bảng kê thanh toán VETC</t>
  </si>
  <si>
    <t>VETC</t>
  </si>
  <si>
    <t>Bảng kê Phí cầu đường xe anh Trọng</t>
  </si>
  <si>
    <t>Biểu mẫu Hồ sơ thanh toán</t>
  </si>
  <si>
    <t>File thanh toán mẫu</t>
  </si>
  <si>
    <t>File dữ liệu thanh toán</t>
  </si>
  <si>
    <t xml:space="preserve">Biểu mẫu </t>
  </si>
  <si>
    <t>Mẫu Template</t>
  </si>
  <si>
    <t>File in TX Doanh thu - Chi phí tuần</t>
  </si>
  <si>
    <t>File in TX Lệnh điều xe</t>
  </si>
  <si>
    <t>LỆCH ĐIỀU XE</t>
  </si>
  <si>
    <t>File dữ liệu scan</t>
  </si>
  <si>
    <t>SCAN_Khánh Linh</t>
  </si>
  <si>
    <t>Chính sách Door-to-Door (Tổng hợp)</t>
  </si>
  <si>
    <t xml:space="preserve">[Door-to-door] Chính sách xe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</si>
</sst>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m/yyyy"/>
    <numFmt numFmtId="166" formatCode="d/m/yyyy"/>
    <numFmt numFmtId="167" formatCode="mm/yyyy"/>
    <numFmt numFmtId="168" formatCode="dd/mm"/>
  </numFmts>
  <fonts count="67">
    <font>
      <sz val="10"/>
      <color rgb="FF000000"/>
      <name val="Arial"/>
      <scheme val="minor"/>
    </font>
    <font>
      <sz val="12"/>
      <color theme="1"/>
      <name val="Times New Roman"/>
    </font>
    <font>
      <b/>
      <sz val="30"/>
      <color theme="1"/>
      <name val="Times New Roman"/>
    </font>
    <font>
      <sz val="10"/>
      <color theme="1"/>
      <name val="Times New Roman"/>
    </font>
    <font>
      <b/>
      <sz val="10"/>
      <color theme="1"/>
      <name val="Arial"/>
    </font>
    <font>
      <b/>
      <sz val="13"/>
      <color theme="1"/>
      <name val="Arial"/>
    </font>
    <font>
      <sz val="13"/>
      <color theme="1"/>
      <name val="Times New Roman"/>
    </font>
    <font>
      <sz val="13"/>
      <color theme="1"/>
      <name val="Arial"/>
    </font>
    <font>
      <sz val="10"/>
      <color theme="1"/>
      <name val="Arial"/>
      <scheme val="minor"/>
    </font>
    <font>
      <b/>
      <sz val="12"/>
      <color theme="1"/>
      <name val="Times New Roman"/>
    </font>
    <font>
      <b/>
      <sz val="13"/>
      <color theme="1"/>
      <name val="Times New Roman"/>
    </font>
    <font>
      <sz val="10"/>
      <name val="Arial"/>
    </font>
    <font>
      <b/>
      <sz val="13"/>
      <color rgb="FF1F1F1F"/>
      <name val="Times New Roman"/>
    </font>
    <font>
      <sz val="13"/>
      <color rgb="FF1F1F1F"/>
      <name val="Times New Roman"/>
    </font>
    <font>
      <b/>
      <sz val="12"/>
      <color rgb="FFFF0000"/>
      <name val="Times New Roman"/>
    </font>
    <font>
      <u/>
      <sz val="13"/>
      <color rgb="FF0000FF"/>
      <name val="Times New Roman"/>
    </font>
    <font>
      <b/>
      <sz val="10"/>
      <color rgb="FF0000FF"/>
      <name val="Times New Roman"/>
    </font>
    <font>
      <u/>
      <sz val="13"/>
      <color theme="1"/>
      <name val="Times New Roman"/>
    </font>
    <font>
      <b/>
      <sz val="15"/>
      <color rgb="FF1F1F1F"/>
      <name val="Times New Roman"/>
    </font>
    <font>
      <b/>
      <sz val="15"/>
      <color theme="1"/>
      <name val="Times New Roman"/>
    </font>
    <font>
      <u/>
      <sz val="13"/>
      <color rgb="FF0000FF"/>
      <name val="Times New Roman"/>
    </font>
    <font>
      <u/>
      <sz val="12"/>
      <color rgb="FF0000FF"/>
      <name val="Times New Roman"/>
    </font>
    <font>
      <u/>
      <sz val="13"/>
      <color theme="1"/>
      <name val="Times New Roman"/>
    </font>
    <font>
      <u/>
      <sz val="13"/>
      <color rgb="FF1F1F1F"/>
      <name val="Times New Roman"/>
    </font>
    <font>
      <u/>
      <sz val="13"/>
      <color theme="1"/>
      <name val="Times New Roman"/>
    </font>
    <font>
      <b/>
      <sz val="12"/>
      <color rgb="FF38761D"/>
      <name val="Times New Roman"/>
    </font>
    <font>
      <u/>
      <sz val="12"/>
      <color rgb="FF1155CC"/>
      <name val="Times New Roman"/>
    </font>
    <font>
      <b/>
      <sz val="11"/>
      <color rgb="FFFFFFFF"/>
      <name val="Calibri"/>
    </font>
    <font>
      <u/>
      <sz val="12"/>
      <color rgb="FF0000FF"/>
      <name val="Times New Roman"/>
    </font>
    <font>
      <u/>
      <sz val="12"/>
      <color rgb="FF0000FF"/>
      <name val="Times New Roman"/>
    </font>
    <font>
      <b/>
      <sz val="14"/>
      <color theme="1"/>
      <name val="Times New Roman"/>
    </font>
    <font>
      <sz val="10"/>
      <color theme="1"/>
      <name val="Times New Roman"/>
    </font>
    <font>
      <b/>
      <i/>
      <sz val="13"/>
      <color rgb="FF1F1F1F"/>
      <name val="Times New Roman"/>
    </font>
    <font>
      <u/>
      <sz val="13"/>
      <color rgb="FF0000FF"/>
      <name val="Times New Roman"/>
    </font>
    <font>
      <b/>
      <sz val="13"/>
      <color rgb="FFFF0000"/>
      <name val="Times New Roman"/>
    </font>
    <font>
      <b/>
      <i/>
      <sz val="13"/>
      <color theme="1"/>
      <name val="Times New Roman"/>
    </font>
    <font>
      <b/>
      <sz val="14"/>
      <color theme="1"/>
      <name val="Arial"/>
      <scheme val="minor"/>
    </font>
    <font>
      <u/>
      <sz val="13"/>
      <color rgb="FF0000FF"/>
      <name val="Times New Roman"/>
    </font>
    <font>
      <sz val="15"/>
      <color theme="1"/>
      <name val="Times New Roman"/>
    </font>
    <font>
      <b/>
      <sz val="11"/>
      <color rgb="FF333333"/>
      <name val="&quot;Segoe UI&quot;"/>
    </font>
    <font>
      <u/>
      <sz val="13"/>
      <color rgb="FF1F1F1F"/>
      <name val="Times New Roman"/>
    </font>
    <font>
      <sz val="11"/>
      <color rgb="FF333333"/>
      <name val="&quot;Segoe UI&quot;"/>
    </font>
    <font>
      <b/>
      <sz val="10"/>
      <color rgb="FF000000"/>
      <name val="Times New Roman"/>
    </font>
    <font>
      <sz val="11"/>
      <color rgb="FF333333"/>
      <name val="Arial"/>
    </font>
    <font>
      <b/>
      <i/>
      <sz val="13"/>
      <color rgb="FF000000"/>
      <name val="'Times New Roman'"/>
    </font>
    <font>
      <sz val="13"/>
      <color rgb="FF1F1F1F"/>
      <name val="'Times New Roman'"/>
    </font>
    <font>
      <sz val="13"/>
      <color rgb="FF1F1F1F"/>
      <name val="Arial"/>
    </font>
    <font>
      <u/>
      <sz val="12"/>
      <color rgb="FF1155CC"/>
      <name val="Times New Roman"/>
    </font>
    <font>
      <u/>
      <sz val="12"/>
      <color rgb="FF0000FF"/>
      <name val="Times New Roman"/>
    </font>
    <font>
      <sz val="12"/>
      <color theme="1"/>
      <name val="Arial"/>
      <scheme val="minor"/>
    </font>
    <font>
      <sz val="13"/>
      <color theme="1"/>
      <name val="Arial"/>
      <scheme val="minor"/>
    </font>
    <font>
      <b/>
      <sz val="12"/>
      <color theme="1"/>
      <name val="Arial"/>
      <scheme val="minor"/>
    </font>
    <font>
      <u/>
      <sz val="12"/>
      <color rgb="FF0000FF"/>
      <name val="Arial"/>
    </font>
    <font>
      <u/>
      <sz val="12"/>
      <color rgb="FF0000FF"/>
      <name val="Times New Roman"/>
    </font>
    <font>
      <u/>
      <sz val="12"/>
      <color theme="1"/>
      <name val="Arial"/>
      <scheme val="minor"/>
    </font>
    <font>
      <u/>
      <sz val="12"/>
      <color theme="1"/>
      <name val="Arial"/>
      <scheme val="minor"/>
    </font>
    <font>
      <u/>
      <sz val="12"/>
      <color rgb="FF0000FF"/>
      <name val="Arial"/>
    </font>
    <font>
      <sz val="12"/>
      <color rgb="FF000000"/>
      <name val="Arial"/>
      <scheme val="minor"/>
    </font>
    <font>
      <sz val="12"/>
      <name val="Times New Roman"/>
    </font>
    <font>
      <sz val="13"/>
      <name val="Times New Roman"/>
    </font>
    <font>
      <u/>
      <sz val="13"/>
      <color rgb="FF1155CC"/>
      <name val="Times New Roman"/>
    </font>
    <font>
      <b/>
      <u/>
      <sz val="13"/>
      <color rgb="FF1155CC"/>
      <name val="Times New Roman"/>
    </font>
    <font>
      <b/>
      <sz val="11"/>
      <color rgb="FF333333"/>
      <name val="Arial"/>
    </font>
    <font>
      <b/>
      <sz val="15"/>
      <color rgb="FFFF0000"/>
      <name val="Times New Roman"/>
    </font>
    <font>
      <sz val="12"/>
      <name val="Arial"/>
    </font>
    <font>
      <u/>
      <sz val="12"/>
      <color rgb="FF1155CC"/>
      <name val="Arial"/>
    </font>
    <font>
      <i/>
      <sz val="15"/>
      <color theme="1"/>
      <name val="Times New Roman"/>
    </font>
  </fonts>
  <fills count="5">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0F4F8"/>
        <bgColor rgb="FFF0F4F8"/>
      </patternFill>
    </fill>
  </fills>
  <borders count="13">
    <border>
      <left/>
      <right/>
      <top/>
      <bottom/>
      <diagonal/>
    </border>
    <border>
      <left/>
      <right style="hair">
        <color rgb="FF000000"/>
      </right>
      <top/>
      <bottom/>
      <diagonal/>
    </border>
    <border>
      <left style="hair">
        <color rgb="FF000000"/>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top/>
      <bottom/>
      <diagonal/>
    </border>
    <border>
      <left style="hair">
        <color rgb="FF000000"/>
      </left>
      <right style="hair">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style="hair">
        <color rgb="FF000000"/>
      </left>
      <right/>
      <top style="hair">
        <color rgb="FF000000"/>
      </top>
      <bottom/>
      <diagonal/>
    </border>
    <border>
      <left style="hair">
        <color rgb="FF666666"/>
      </left>
      <right style="hair">
        <color rgb="FF666666"/>
      </right>
      <top style="hair">
        <color rgb="FF666666"/>
      </top>
      <bottom style="hair">
        <color rgb="FF666666"/>
      </bottom>
      <diagonal/>
    </border>
  </borders>
  <cellStyleXfs count="1">
    <xf numFmtId="0" fontId="0" fillId="0" borderId="0"/>
  </cellStyleXfs>
  <cellXfs count="173">
    <xf numFmtId="0" fontId="0" fillId="0" borderId="0" xfId="0"/>
    <xf numFmtId="0" fontId="1" fillId="0" borderId="0" xfId="0" applyFont="1" applyAlignment="1">
      <alignment vertical="center"/>
    </xf>
    <xf numFmtId="0" fontId="1" fillId="0" borderId="0" xfId="0" applyFont="1" applyAlignment="1">
      <alignment horizontal="center" vertical="center" wrapText="1"/>
    </xf>
    <xf numFmtId="0" fontId="2" fillId="0" borderId="0" xfId="0" applyFont="1"/>
    <xf numFmtId="0" fontId="1" fillId="0" borderId="0" xfId="0" applyFont="1" applyAlignment="1">
      <alignment vertical="center" wrapText="1"/>
    </xf>
    <xf numFmtId="0" fontId="3" fillId="0" borderId="0" xfId="0" applyFont="1" applyAlignment="1">
      <alignment horizontal="center" vertical="center" wrapText="1"/>
    </xf>
    <xf numFmtId="0" fontId="4" fillId="0" borderId="0" xfId="0" applyFont="1"/>
    <xf numFmtId="0" fontId="1" fillId="0" borderId="0" xfId="0" applyFont="1" applyAlignment="1">
      <alignment horizontal="center" vertical="center"/>
    </xf>
    <xf numFmtId="0" fontId="5" fillId="0" borderId="0" xfId="0" applyFont="1"/>
    <xf numFmtId="0" fontId="6" fillId="0" borderId="0" xfId="0" applyFont="1" applyAlignment="1">
      <alignment vertical="center"/>
    </xf>
    <xf numFmtId="49" fontId="1" fillId="0" borderId="0" xfId="0" applyNumberFormat="1" applyFont="1" applyAlignment="1">
      <alignment vertical="center"/>
    </xf>
    <xf numFmtId="0" fontId="7" fillId="0" borderId="0" xfId="0" applyFont="1"/>
    <xf numFmtId="0" fontId="6" fillId="0" borderId="0" xfId="0" applyFont="1" applyAlignment="1">
      <alignment horizontal="center" vertical="center"/>
    </xf>
    <xf numFmtId="0" fontId="8" fillId="0" borderId="0" xfId="0" applyFont="1"/>
    <xf numFmtId="49" fontId="6" fillId="0" borderId="0" xfId="0" applyNumberFormat="1" applyFont="1" applyAlignment="1">
      <alignment horizontal="center" vertical="center"/>
    </xf>
    <xf numFmtId="0" fontId="8" fillId="0" borderId="0" xfId="0" applyFont="1" applyAlignment="1">
      <alignment horizontal="center"/>
    </xf>
    <xf numFmtId="0" fontId="6" fillId="0" borderId="0" xfId="0" applyFont="1" applyAlignment="1">
      <alignment vertical="center" wrapText="1"/>
    </xf>
    <xf numFmtId="0" fontId="6" fillId="0" borderId="0" xfId="0" applyFont="1" applyAlignment="1">
      <alignment horizontal="center" vertical="center" wrapText="1"/>
    </xf>
    <xf numFmtId="0" fontId="10" fillId="0" borderId="3" xfId="0" applyFont="1" applyBorder="1" applyAlignment="1">
      <alignment horizontal="center" vertical="center" wrapText="1"/>
    </xf>
    <xf numFmtId="49" fontId="10" fillId="0" borderId="3" xfId="0" applyNumberFormat="1" applyFont="1" applyBorder="1" applyAlignment="1">
      <alignment horizontal="center" vertical="center" wrapText="1"/>
    </xf>
    <xf numFmtId="0" fontId="12" fillId="0" borderId="0" xfId="0" applyFont="1" applyAlignment="1">
      <alignment horizontal="center" vertical="center" wrapText="1"/>
    </xf>
    <xf numFmtId="0" fontId="6" fillId="0" borderId="3" xfId="0" applyFont="1" applyBorder="1" applyAlignment="1">
      <alignment horizontal="center" vertical="center"/>
    </xf>
    <xf numFmtId="0" fontId="10" fillId="0" borderId="0" xfId="0" applyFont="1" applyAlignment="1">
      <alignment horizontal="center" vertical="center" wrapText="1"/>
    </xf>
    <xf numFmtId="0" fontId="6" fillId="0" borderId="3" xfId="0" applyFont="1" applyBorder="1" applyAlignment="1">
      <alignment vertical="center"/>
    </xf>
    <xf numFmtId="49" fontId="6" fillId="0" borderId="3" xfId="0" applyNumberFormat="1" applyFont="1" applyBorder="1" applyAlignment="1">
      <alignment horizontal="center" vertical="center"/>
    </xf>
    <xf numFmtId="0" fontId="12" fillId="0" borderId="3" xfId="0" applyFont="1" applyBorder="1" applyAlignment="1">
      <alignment horizontal="center" vertical="center" wrapText="1"/>
    </xf>
    <xf numFmtId="164" fontId="6" fillId="0" borderId="3" xfId="0" applyNumberFormat="1" applyFont="1" applyBorder="1" applyAlignment="1">
      <alignment horizontal="center" vertical="center"/>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vertical="center" wrapText="1"/>
    </xf>
    <xf numFmtId="0" fontId="13" fillId="0" borderId="3" xfId="0" applyFont="1" applyBorder="1" applyAlignment="1">
      <alignment vertical="center" wrapText="1"/>
    </xf>
    <xf numFmtId="0" fontId="9" fillId="0" borderId="7" xfId="0" applyFont="1" applyBorder="1" applyAlignment="1">
      <alignment horizontal="center" vertical="center" wrapText="1"/>
    </xf>
    <xf numFmtId="0" fontId="6"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15" fillId="0" borderId="3" xfId="0" applyFont="1" applyBorder="1" applyAlignment="1">
      <alignment vertical="center"/>
    </xf>
    <xf numFmtId="0" fontId="16" fillId="0" borderId="3" xfId="0" applyFont="1" applyBorder="1" applyAlignment="1">
      <alignment horizontal="center" vertical="center" wrapText="1"/>
    </xf>
    <xf numFmtId="0" fontId="8" fillId="0" borderId="0" xfId="0" applyFont="1" applyAlignment="1">
      <alignment vertical="center" wrapText="1"/>
    </xf>
    <xf numFmtId="165" fontId="1" fillId="0" borderId="3" xfId="0" applyNumberFormat="1" applyFont="1" applyBorder="1" applyAlignment="1">
      <alignment horizontal="center" vertical="center" wrapText="1"/>
    </xf>
    <xf numFmtId="0" fontId="1" fillId="0" borderId="9" xfId="0" applyFont="1" applyBorder="1" applyAlignment="1">
      <alignment horizontal="center" vertical="center" wrapText="1"/>
    </xf>
    <xf numFmtId="0" fontId="2" fillId="0" borderId="0" xfId="0" applyFont="1" applyAlignment="1">
      <alignment vertical="center"/>
    </xf>
    <xf numFmtId="164" fontId="1" fillId="0" borderId="3" xfId="0" applyNumberFormat="1" applyFont="1" applyBorder="1" applyAlignment="1">
      <alignment vertical="center" wrapText="1"/>
    </xf>
    <xf numFmtId="0" fontId="8" fillId="0" borderId="0" xfId="0" applyFont="1" applyAlignment="1">
      <alignment vertical="center"/>
    </xf>
    <xf numFmtId="164" fontId="1" fillId="0" borderId="3" xfId="0" applyNumberFormat="1" applyFont="1" applyBorder="1" applyAlignment="1">
      <alignment horizontal="center" vertical="center" wrapText="1"/>
    </xf>
    <xf numFmtId="0" fontId="17" fillId="0" borderId="3" xfId="0" applyFont="1" applyBorder="1" applyAlignment="1">
      <alignment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8" fillId="0" borderId="3" xfId="0" applyFont="1" applyBorder="1" applyAlignment="1">
      <alignment horizontal="center" vertical="center" wrapText="1"/>
    </xf>
    <xf numFmtId="0" fontId="6" fillId="0" borderId="3" xfId="0" applyFont="1" applyBorder="1" applyAlignment="1">
      <alignment vertical="center" wrapText="1"/>
    </xf>
    <xf numFmtId="166" fontId="6" fillId="0" borderId="3" xfId="0" applyNumberFormat="1" applyFont="1" applyBorder="1" applyAlignment="1">
      <alignment horizontal="center" vertical="center"/>
    </xf>
    <xf numFmtId="0" fontId="20" fillId="0" borderId="3" xfId="0" applyFont="1" applyBorder="1" applyAlignment="1">
      <alignment vertical="center" wrapText="1"/>
    </xf>
    <xf numFmtId="0" fontId="21" fillId="0" borderId="10" xfId="0" applyFont="1" applyBorder="1" applyAlignment="1">
      <alignment vertical="center"/>
    </xf>
    <xf numFmtId="0" fontId="22" fillId="0" borderId="3" xfId="0" applyFont="1" applyBorder="1" applyAlignment="1">
      <alignment horizontal="center" vertical="center" wrapText="1"/>
    </xf>
    <xf numFmtId="0" fontId="1" fillId="0" borderId="10" xfId="0" applyFont="1" applyBorder="1" applyAlignment="1">
      <alignment vertical="center"/>
    </xf>
    <xf numFmtId="0" fontId="23" fillId="0" borderId="3" xfId="0" applyFont="1" applyBorder="1" applyAlignment="1">
      <alignment vertical="center" wrapText="1"/>
    </xf>
    <xf numFmtId="49" fontId="1" fillId="0" borderId="10" xfId="0" applyNumberFormat="1" applyFont="1" applyBorder="1" applyAlignment="1">
      <alignment vertical="center" wrapText="1"/>
    </xf>
    <xf numFmtId="0" fontId="1" fillId="0" borderId="10" xfId="0" applyFont="1" applyBorder="1" applyAlignment="1">
      <alignment vertical="center" wrapText="1"/>
    </xf>
    <xf numFmtId="49" fontId="1" fillId="0" borderId="3" xfId="0" applyNumberFormat="1" applyFont="1" applyBorder="1" applyAlignment="1">
      <alignment horizontal="center" vertical="center" wrapText="1"/>
    </xf>
    <xf numFmtId="0" fontId="24" fillId="0" borderId="3" xfId="0" applyFont="1" applyBorder="1" applyAlignment="1">
      <alignment vertical="center" wrapText="1"/>
    </xf>
    <xf numFmtId="0" fontId="25" fillId="0" borderId="3" xfId="0" applyFont="1" applyBorder="1" applyAlignment="1">
      <alignment horizontal="center" vertical="center" wrapText="1"/>
    </xf>
    <xf numFmtId="0" fontId="10" fillId="0" borderId="3" xfId="0" applyFont="1" applyBorder="1" applyAlignment="1">
      <alignment vertical="center" wrapText="1"/>
    </xf>
    <xf numFmtId="0" fontId="6" fillId="0" borderId="3" xfId="0" applyFont="1" applyBorder="1" applyAlignment="1">
      <alignment horizontal="left" vertical="center" wrapText="1"/>
    </xf>
    <xf numFmtId="167" fontId="1" fillId="0" borderId="3" xfId="0" applyNumberFormat="1" applyFont="1" applyBorder="1" applyAlignment="1">
      <alignment horizontal="center" vertical="center" wrapText="1"/>
    </xf>
    <xf numFmtId="0" fontId="26" fillId="0" borderId="10" xfId="0" applyFont="1" applyBorder="1" applyAlignment="1">
      <alignment vertical="center"/>
    </xf>
    <xf numFmtId="0" fontId="8" fillId="0" borderId="0" xfId="0" applyFont="1" applyAlignment="1">
      <alignment wrapText="1"/>
    </xf>
    <xf numFmtId="3" fontId="27" fillId="2" borderId="3" xfId="0" applyNumberFormat="1" applyFont="1" applyFill="1" applyBorder="1" applyAlignment="1">
      <alignment horizontal="center" wrapText="1"/>
    </xf>
    <xf numFmtId="0" fontId="27" fillId="2" borderId="3" xfId="0" applyFont="1" applyFill="1" applyBorder="1" applyAlignment="1">
      <alignment horizontal="center" wrapText="1"/>
    </xf>
    <xf numFmtId="0" fontId="28" fillId="0" borderId="10" xfId="0" applyFont="1" applyBorder="1" applyAlignment="1">
      <alignment vertical="center"/>
    </xf>
    <xf numFmtId="0" fontId="29" fillId="0" borderId="3" xfId="0" applyFont="1" applyBorder="1" applyAlignment="1">
      <alignment vertical="center" wrapText="1"/>
    </xf>
    <xf numFmtId="49" fontId="1" fillId="0" borderId="10" xfId="0" applyNumberFormat="1" applyFont="1" applyBorder="1" applyAlignment="1">
      <alignment vertical="center"/>
    </xf>
    <xf numFmtId="49" fontId="1" fillId="0" borderId="0" xfId="0" applyNumberFormat="1" applyFont="1" applyAlignment="1">
      <alignment vertical="center" wrapText="1"/>
    </xf>
    <xf numFmtId="0" fontId="30" fillId="0" borderId="0" xfId="0" applyFont="1" applyAlignment="1">
      <alignment vertical="center" wrapText="1"/>
    </xf>
    <xf numFmtId="0" fontId="31" fillId="0" borderId="0" xfId="0" applyFont="1" applyAlignment="1">
      <alignment vertical="center" wrapText="1"/>
    </xf>
    <xf numFmtId="0" fontId="10" fillId="0" borderId="0" xfId="0" applyFont="1" applyAlignment="1">
      <alignment vertical="center"/>
    </xf>
    <xf numFmtId="0" fontId="31" fillId="0" borderId="0" xfId="0" applyFont="1" applyAlignment="1">
      <alignment vertical="center"/>
    </xf>
    <xf numFmtId="0" fontId="13" fillId="3" borderId="0" xfId="0" applyFont="1" applyFill="1"/>
    <xf numFmtId="0" fontId="32" fillId="3" borderId="0" xfId="0" applyFont="1" applyFill="1"/>
    <xf numFmtId="0" fontId="1" fillId="0" borderId="0" xfId="0" applyFont="1" applyAlignment="1">
      <alignment horizontal="left" vertical="center"/>
    </xf>
    <xf numFmtId="0" fontId="34" fillId="0" borderId="3" xfId="0" applyFont="1" applyBorder="1" applyAlignment="1">
      <alignment horizontal="left" vertical="center" wrapText="1"/>
    </xf>
    <xf numFmtId="0" fontId="6" fillId="0" borderId="0" xfId="0" applyFont="1" applyAlignment="1">
      <alignment horizontal="left" vertical="center" wrapText="1"/>
    </xf>
    <xf numFmtId="0" fontId="35" fillId="0" borderId="0" xfId="0" applyFont="1" applyAlignment="1">
      <alignment vertical="center"/>
    </xf>
    <xf numFmtId="0" fontId="36" fillId="0" borderId="0" xfId="0" applyFont="1" applyAlignment="1">
      <alignment vertical="center" wrapText="1"/>
    </xf>
    <xf numFmtId="0" fontId="35" fillId="0" borderId="0" xfId="0" applyFont="1" applyAlignment="1">
      <alignment horizontal="left" vertical="center"/>
    </xf>
    <xf numFmtId="0" fontId="6" fillId="0" borderId="0" xfId="0" applyFont="1" applyAlignment="1">
      <alignment horizontal="left" vertical="center"/>
    </xf>
    <xf numFmtId="0" fontId="37" fillId="0" borderId="3" xfId="0" applyFont="1" applyBorder="1" applyAlignment="1">
      <alignment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10" fillId="0" borderId="0" xfId="0" applyFont="1" applyAlignment="1">
      <alignment vertical="center" wrapText="1"/>
    </xf>
    <xf numFmtId="0" fontId="38" fillId="0" borderId="0" xfId="0" applyFont="1" applyAlignment="1">
      <alignment horizontal="center" vertical="center"/>
    </xf>
    <xf numFmtId="0" fontId="18" fillId="0" borderId="3" xfId="0" applyFont="1" applyBorder="1" applyAlignment="1">
      <alignment horizontal="center" vertical="center"/>
    </xf>
    <xf numFmtId="166" fontId="1" fillId="0" borderId="3" xfId="0" applyNumberFormat="1" applyFont="1" applyBorder="1" applyAlignment="1">
      <alignment vertical="center" wrapText="1"/>
    </xf>
    <xf numFmtId="0" fontId="38" fillId="0" borderId="0" xfId="0" applyFont="1" applyAlignment="1">
      <alignment horizontal="center" vertical="center" wrapText="1"/>
    </xf>
    <xf numFmtId="0" fontId="1" fillId="0" borderId="9" xfId="0" applyFont="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0" fontId="34" fillId="0" borderId="0" xfId="0" applyFont="1" applyAlignment="1">
      <alignment horizontal="left" vertical="center" wrapText="1"/>
    </xf>
    <xf numFmtId="0" fontId="39" fillId="3" borderId="3" xfId="0" applyFont="1" applyFill="1" applyBorder="1" applyAlignment="1">
      <alignment horizontal="center" vertical="center" wrapText="1"/>
    </xf>
    <xf numFmtId="0" fontId="40" fillId="0" borderId="3" xfId="0" applyFont="1" applyBorder="1" applyAlignment="1">
      <alignment horizontal="center" vertical="center" wrapText="1"/>
    </xf>
    <xf numFmtId="168" fontId="34" fillId="0" borderId="3" xfId="0" applyNumberFormat="1" applyFont="1" applyBorder="1" applyAlignment="1">
      <alignment horizontal="center" vertical="center"/>
    </xf>
    <xf numFmtId="0" fontId="39" fillId="3" borderId="3" xfId="0" applyFont="1" applyFill="1" applyBorder="1" applyAlignment="1">
      <alignment horizontal="left" vertical="center" wrapText="1"/>
    </xf>
    <xf numFmtId="0" fontId="41" fillId="3" borderId="3" xfId="0" applyFont="1" applyFill="1" applyBorder="1" applyAlignment="1">
      <alignment horizontal="center" vertical="center" wrapText="1"/>
    </xf>
    <xf numFmtId="0" fontId="41" fillId="3" borderId="3" xfId="0" applyFont="1" applyFill="1" applyBorder="1" applyAlignment="1">
      <alignment horizontal="left" vertical="center" wrapText="1"/>
    </xf>
    <xf numFmtId="0" fontId="41" fillId="3" borderId="0" xfId="0" applyFont="1" applyFill="1" applyAlignment="1">
      <alignment horizontal="left" vertical="center" wrapText="1"/>
    </xf>
    <xf numFmtId="0" fontId="39" fillId="4" borderId="3" xfId="0" applyFont="1" applyFill="1" applyBorder="1" applyAlignment="1">
      <alignment horizontal="center" vertical="center" wrapText="1"/>
    </xf>
    <xf numFmtId="168" fontId="13" fillId="0" borderId="3" xfId="0" applyNumberFormat="1" applyFont="1" applyBorder="1" applyAlignment="1">
      <alignment horizontal="center" vertical="center"/>
    </xf>
    <xf numFmtId="0" fontId="39" fillId="4" borderId="3" xfId="0" applyFont="1" applyFill="1" applyBorder="1" applyAlignment="1">
      <alignment horizontal="left" vertical="center" wrapText="1"/>
    </xf>
    <xf numFmtId="0" fontId="14" fillId="0" borderId="9" xfId="0" applyFont="1" applyBorder="1" applyAlignment="1">
      <alignment horizontal="center" vertical="center" wrapText="1"/>
    </xf>
    <xf numFmtId="0" fontId="41" fillId="4" borderId="3" xfId="0" applyFont="1" applyFill="1" applyBorder="1" applyAlignment="1">
      <alignment horizontal="center" vertical="center" wrapText="1"/>
    </xf>
    <xf numFmtId="0" fontId="42" fillId="0" borderId="9" xfId="0" applyFont="1" applyBorder="1" applyAlignment="1">
      <alignment horizontal="center" vertical="center" wrapText="1"/>
    </xf>
    <xf numFmtId="0" fontId="41" fillId="4" borderId="3" xfId="0" applyFont="1" applyFill="1" applyBorder="1" applyAlignment="1">
      <alignment horizontal="left" vertical="center" wrapText="1"/>
    </xf>
    <xf numFmtId="164" fontId="1" fillId="0" borderId="9" xfId="0" applyNumberFormat="1" applyFont="1" applyBorder="1" applyAlignment="1">
      <alignment vertical="center" wrapText="1"/>
    </xf>
    <xf numFmtId="0" fontId="43" fillId="4" borderId="3" xfId="0" applyFont="1" applyFill="1" applyBorder="1" applyAlignment="1">
      <alignment horizontal="left" vertical="center" wrapText="1"/>
    </xf>
    <xf numFmtId="0" fontId="43" fillId="4" borderId="0" xfId="0" applyFont="1" applyFill="1" applyAlignment="1">
      <alignment horizontal="left" vertical="center" wrapText="1"/>
    </xf>
    <xf numFmtId="166" fontId="1" fillId="0" borderId="9" xfId="0" applyNumberFormat="1" applyFont="1" applyBorder="1" applyAlignment="1">
      <alignment horizontal="center" vertical="center" wrapText="1"/>
    </xf>
    <xf numFmtId="0" fontId="41" fillId="4" borderId="0" xfId="0" applyFont="1" applyFill="1" applyAlignment="1">
      <alignment horizontal="left"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0" borderId="0" xfId="0" applyFont="1" applyAlignment="1">
      <alignment horizontal="center" vertical="center" wrapText="1"/>
    </xf>
    <xf numFmtId="0" fontId="44" fillId="0" borderId="0" xfId="0" applyFont="1"/>
    <xf numFmtId="0" fontId="45" fillId="0" borderId="0" xfId="0" applyFont="1"/>
    <xf numFmtId="0" fontId="46" fillId="0" borderId="0" xfId="0" applyFont="1"/>
    <xf numFmtId="0" fontId="47" fillId="0" borderId="11" xfId="0" applyFont="1" applyBorder="1" applyAlignment="1">
      <alignment vertical="center"/>
    </xf>
    <xf numFmtId="0" fontId="48" fillId="0" borderId="11" xfId="0" applyFont="1" applyBorder="1" applyAlignment="1">
      <alignment vertical="center"/>
    </xf>
    <xf numFmtId="0" fontId="49" fillId="0" borderId="0" xfId="0" applyFont="1" applyAlignment="1">
      <alignment vertical="center" wrapText="1"/>
    </xf>
    <xf numFmtId="0" fontId="49" fillId="0" borderId="0" xfId="0" applyFont="1" applyAlignment="1">
      <alignment horizontal="center" vertical="center" wrapText="1"/>
    </xf>
    <xf numFmtId="0" fontId="50" fillId="0" borderId="0" xfId="0" applyFont="1" applyAlignment="1">
      <alignment horizontal="center" vertical="center" wrapText="1"/>
    </xf>
    <xf numFmtId="0" fontId="51" fillId="0" borderId="3" xfId="0" applyFont="1" applyBorder="1" applyAlignment="1">
      <alignment horizontal="center" vertical="center" wrapText="1"/>
    </xf>
    <xf numFmtId="49" fontId="6"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0" fontId="49" fillId="0" borderId="3" xfId="0" applyFont="1" applyBorder="1" applyAlignment="1">
      <alignment horizontal="center" vertical="center" wrapText="1"/>
    </xf>
    <xf numFmtId="0" fontId="49" fillId="0" borderId="3" xfId="0" applyFont="1" applyBorder="1" applyAlignment="1">
      <alignment vertical="center" wrapText="1"/>
    </xf>
    <xf numFmtId="49" fontId="19" fillId="0" borderId="0" xfId="0" applyNumberFormat="1" applyFont="1" applyAlignment="1">
      <alignment horizontal="center" vertical="center" wrapText="1"/>
    </xf>
    <xf numFmtId="49" fontId="1" fillId="0" borderId="11" xfId="0" applyNumberFormat="1" applyFont="1" applyBorder="1" applyAlignment="1">
      <alignment vertical="center" wrapText="1"/>
    </xf>
    <xf numFmtId="3" fontId="19" fillId="0" borderId="0" xfId="0" applyNumberFormat="1" applyFont="1" applyAlignment="1">
      <alignment horizontal="center" vertical="center" wrapText="1"/>
    </xf>
    <xf numFmtId="0" fontId="1" fillId="0" borderId="11" xfId="0" applyFont="1" applyBorder="1" applyAlignment="1">
      <alignment vertical="center" wrapText="1"/>
    </xf>
    <xf numFmtId="0" fontId="19" fillId="0" borderId="3" xfId="0" applyFont="1" applyBorder="1" applyAlignment="1">
      <alignment horizontal="center" vertical="center" wrapText="1"/>
    </xf>
    <xf numFmtId="49" fontId="19" fillId="0" borderId="3" xfId="0" applyNumberFormat="1" applyFont="1" applyBorder="1" applyAlignment="1">
      <alignment horizontal="center" vertical="center" wrapText="1"/>
    </xf>
    <xf numFmtId="0" fontId="52" fillId="0" borderId="3" xfId="0" applyFont="1" applyBorder="1" applyAlignment="1">
      <alignment vertical="center" wrapText="1"/>
    </xf>
    <xf numFmtId="0" fontId="53" fillId="0" borderId="11" xfId="0" applyFont="1" applyBorder="1" applyAlignment="1">
      <alignment vertical="center"/>
    </xf>
    <xf numFmtId="3" fontId="19" fillId="0" borderId="3" xfId="0" applyNumberFormat="1" applyFont="1" applyBorder="1" applyAlignment="1">
      <alignment horizontal="center" vertical="center" wrapText="1"/>
    </xf>
    <xf numFmtId="0" fontId="6" fillId="0" borderId="12" xfId="0" applyFont="1" applyBorder="1" applyAlignment="1">
      <alignment vertical="center" wrapText="1"/>
    </xf>
    <xf numFmtId="0" fontId="1" fillId="0" borderId="2" xfId="0" applyFont="1" applyBorder="1" applyAlignment="1">
      <alignment horizontal="center" vertical="center" wrapText="1"/>
    </xf>
    <xf numFmtId="49" fontId="6" fillId="0" borderId="12" xfId="0" applyNumberFormat="1" applyFont="1" applyBorder="1" applyAlignment="1">
      <alignment horizontal="center" vertical="center" wrapText="1"/>
    </xf>
    <xf numFmtId="3" fontId="6" fillId="0" borderId="3" xfId="0" applyNumberFormat="1" applyFont="1" applyBorder="1" applyAlignment="1">
      <alignment horizontal="center" vertical="center" wrapText="1"/>
    </xf>
    <xf numFmtId="49" fontId="1" fillId="0" borderId="3" xfId="0" applyNumberFormat="1" applyFont="1" applyBorder="1" applyAlignment="1">
      <alignment vertical="center" wrapText="1"/>
    </xf>
    <xf numFmtId="0" fontId="54" fillId="0" borderId="3" xfId="0" applyFont="1" applyBorder="1" applyAlignment="1">
      <alignment vertical="center" wrapText="1"/>
    </xf>
    <xf numFmtId="0" fontId="9" fillId="0" borderId="9" xfId="0" applyFont="1" applyBorder="1" applyAlignment="1">
      <alignment horizontal="center" vertical="center" wrapText="1"/>
    </xf>
    <xf numFmtId="0" fontId="1" fillId="0" borderId="11" xfId="0" applyFont="1" applyBorder="1" applyAlignment="1">
      <alignment vertical="center"/>
    </xf>
    <xf numFmtId="49" fontId="6" fillId="0" borderId="3" xfId="0" applyNumberFormat="1" applyFont="1" applyBorder="1" applyAlignment="1">
      <alignment horizontal="center" vertical="center" wrapText="1"/>
    </xf>
    <xf numFmtId="0" fontId="1" fillId="0" borderId="9" xfId="0" applyFont="1" applyBorder="1" applyAlignment="1">
      <alignment vertical="center"/>
    </xf>
    <xf numFmtId="0" fontId="14" fillId="0" borderId="0" xfId="0" applyFont="1" applyAlignment="1">
      <alignment horizontal="center" vertical="center" wrapText="1"/>
    </xf>
    <xf numFmtId="0" fontId="42" fillId="0" borderId="0" xfId="0" applyFont="1" applyAlignment="1">
      <alignment horizontal="center" vertical="center" wrapText="1"/>
    </xf>
    <xf numFmtId="14" fontId="1" fillId="0" borderId="0" xfId="0" applyNumberFormat="1" applyFont="1" applyAlignment="1">
      <alignment horizontal="center" vertical="center" wrapText="1"/>
    </xf>
    <xf numFmtId="0" fontId="55" fillId="0" borderId="3" xfId="0" applyFont="1" applyBorder="1" applyAlignment="1">
      <alignment vertical="center" wrapText="1"/>
    </xf>
    <xf numFmtId="0" fontId="56" fillId="0" borderId="3" xfId="0" applyFont="1" applyBorder="1" applyAlignment="1">
      <alignment vertical="center" wrapText="1"/>
    </xf>
    <xf numFmtId="0" fontId="57" fillId="0" borderId="3" xfId="0" applyFont="1" applyBorder="1" applyAlignment="1">
      <alignment vertical="center" wrapText="1"/>
    </xf>
    <xf numFmtId="0" fontId="9" fillId="0" borderId="1" xfId="0" applyFont="1" applyBorder="1" applyAlignment="1">
      <alignment horizontal="center" vertical="center" wrapText="1"/>
    </xf>
    <xf numFmtId="0" fontId="11" fillId="0" borderId="5" xfId="0" applyFont="1" applyBorder="1"/>
    <xf numFmtId="0" fontId="9" fillId="0" borderId="2" xfId="0" applyFont="1" applyBorder="1" applyAlignment="1">
      <alignment horizontal="center" vertical="center" wrapText="1"/>
    </xf>
    <xf numFmtId="0" fontId="11" fillId="0" borderId="7" xfId="0" applyFont="1" applyBorder="1"/>
    <xf numFmtId="0" fontId="9" fillId="0" borderId="6" xfId="0" applyFont="1" applyBorder="1" applyAlignment="1">
      <alignment horizontal="center" vertical="center" wrapText="1"/>
    </xf>
    <xf numFmtId="0" fontId="11" fillId="0" borderId="4" xfId="0" applyFont="1" applyBorder="1"/>
    <xf numFmtId="49" fontId="9" fillId="0" borderId="6" xfId="0" applyNumberFormat="1" applyFont="1" applyBorder="1" applyAlignment="1">
      <alignment horizontal="center" vertical="center" wrapText="1"/>
    </xf>
    <xf numFmtId="0" fontId="0" fillId="0" borderId="0" xfId="0"/>
    <xf numFmtId="0" fontId="11" fillId="0" borderId="1" xfId="0" applyFont="1" applyBorder="1"/>
    <xf numFmtId="0" fontId="9" fillId="0" borderId="4" xfId="0" applyFont="1" applyBorder="1" applyAlignment="1">
      <alignment horizontal="center" vertical="center" wrapText="1"/>
    </xf>
    <xf numFmtId="0" fontId="33" fillId="0" borderId="0" xfId="0" applyFont="1" applyAlignment="1">
      <alignment vertical="center"/>
    </xf>
    <xf numFmtId="0" fontId="12" fillId="0" borderId="9" xfId="0" applyFont="1" applyBorder="1" applyAlignment="1">
      <alignment horizontal="left" vertical="center" wrapText="1"/>
    </xf>
    <xf numFmtId="0" fontId="11" fillId="0" borderId="2" xfId="0" applyFont="1" applyBorder="1"/>
    <xf numFmtId="0" fontId="4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U6F_SiYSksvR9nkDEuf1-FcrCWxPwzPe/view?usp=sharing" TargetMode="External"/><Relationship Id="rId18" Type="http://schemas.openxmlformats.org/officeDocument/2006/relationships/hyperlink" Target="https://drive.google.com/file/d/1wRfk2fuj_ZkvaC1mIMQVy1BtdKkhqwZF/view?usp=drive_link" TargetMode="External"/><Relationship Id="rId26" Type="http://schemas.openxmlformats.org/officeDocument/2006/relationships/hyperlink" Target="https://drive.google.com/file/d/1QnHeZSWiuKG3putTFOSZhRcJkCRS0to1/view?usp=sharing" TargetMode="External"/><Relationship Id="rId3" Type="http://schemas.openxmlformats.org/officeDocument/2006/relationships/hyperlink" Target="https://drive.google.com/file/d/17bF5oT_54QNegBkvCZ0sYLBwVDvld2iF/view?usp=sharing" TargetMode="External"/><Relationship Id="rId21" Type="http://schemas.openxmlformats.org/officeDocument/2006/relationships/hyperlink" Target="https://drive.google.com/file/d/1FvRmYj-AU8ObyfY0fPAWTS5qIzlGJ0tp/view?usp=drive_link" TargetMode="External"/><Relationship Id="rId34" Type="http://schemas.openxmlformats.org/officeDocument/2006/relationships/hyperlink" Target="https://drive.google.com/file/d/1rsPwr4z755qOYLSX3yQFkMFvRtuYMy5j/view?usp=drive_link" TargetMode="External"/><Relationship Id="rId7" Type="http://schemas.openxmlformats.org/officeDocument/2006/relationships/hyperlink" Target="https://drive.google.com/file/d/1Ki3cs4tgUkD-UbHDhpu2-yl3S-ElG7O0/view?usp=drive_link" TargetMode="External"/><Relationship Id="rId12" Type="http://schemas.openxmlformats.org/officeDocument/2006/relationships/hyperlink" Target="https://drive.google.com/drive/folders/14yO8UU_1P0OjU_1_-WJTn-QJDq-K4_5o?usp=drive_link" TargetMode="External"/><Relationship Id="rId17" Type="http://schemas.openxmlformats.org/officeDocument/2006/relationships/hyperlink" Target="https://drive.google.com/file/d/1IBL4Us4l_e9riPqEJHsJBW9FqjEpMWau/view?usp=sharing" TargetMode="External"/><Relationship Id="rId25" Type="http://schemas.openxmlformats.org/officeDocument/2006/relationships/hyperlink" Target="https://drive.google.com/file/d/1bamM_bIKM9GJ5mEVPdk1AmcJBB1B9qBW/view?usp=drive_link" TargetMode="External"/><Relationship Id="rId33" Type="http://schemas.openxmlformats.org/officeDocument/2006/relationships/hyperlink" Target="https://drive.google.com/drive/folders/16Os-tyJN4L4gqZIPaEhv8_uS765ceccC?usp=drive_link" TargetMode="External"/><Relationship Id="rId2" Type="http://schemas.openxmlformats.org/officeDocument/2006/relationships/hyperlink" Target="https://drive.google.com/file/d/1humGHf4_vmwK6FKkeaFIpw0vlKCM9AVw/view?usp=sharing" TargetMode="External"/><Relationship Id="rId16" Type="http://schemas.openxmlformats.org/officeDocument/2006/relationships/hyperlink" Target="https://drive.google.com/drive/folders/1mDJ9fU__sYSyxHkdKi_Lmx963sW2S-Nc?usp=drive_link" TargetMode="External"/><Relationship Id="rId20" Type="http://schemas.openxmlformats.org/officeDocument/2006/relationships/hyperlink" Target="https://drive.google.com/drive/folders/1W5B-jA5sfIUpq4SgxzzMnnscTDd1n8cZ?usp=drive_link" TargetMode="External"/><Relationship Id="rId29" Type="http://schemas.openxmlformats.org/officeDocument/2006/relationships/hyperlink" Target="https://drive.google.com/drive/folders/1MZ9m2qg6huzhG6qSOpvqroMpGANQC3LT?usp=drive_link" TargetMode="External"/><Relationship Id="rId1" Type="http://schemas.openxmlformats.org/officeDocument/2006/relationships/hyperlink" Target="https://drive.google.com/file/d/1ac_7WyovYkR1DKm7CdkcQxYNjuI6RKEi/view?usp=drive_link" TargetMode="External"/><Relationship Id="rId6" Type="http://schemas.openxmlformats.org/officeDocument/2006/relationships/hyperlink" Target="https://drive.google.com/file/d/1Y8nsFZix1yFXMXM9BNdmKQAYENLXVdSr/view?usp=drive_link" TargetMode="External"/><Relationship Id="rId11" Type="http://schemas.openxmlformats.org/officeDocument/2006/relationships/hyperlink" Target="https://drive.google.com/file/d/1L2VFqvkPmdlASYchaBVD5lfuHt5Gbpi3/view?usp=sharing" TargetMode="External"/><Relationship Id="rId24" Type="http://schemas.openxmlformats.org/officeDocument/2006/relationships/hyperlink" Target="https://drive.google.com/drive/folders/1cCpE1Ue7aJuFIt08hKGJrhhUR2Q23Uwy?usp=drive_link" TargetMode="External"/><Relationship Id="rId32" Type="http://schemas.openxmlformats.org/officeDocument/2006/relationships/hyperlink" Target="https://drive.google.com/file/d/1FoNf2gMfnhHFjOWezMqKXRnRxNEqlseJ/view?usp=drive_link" TargetMode="External"/><Relationship Id="rId5" Type="http://schemas.openxmlformats.org/officeDocument/2006/relationships/hyperlink" Target="https://drive.google.com/file/d/1nFE0nHahijonk7uHFr5mRKIx2AO4_PPX/view?usp=drive_link" TargetMode="External"/><Relationship Id="rId15" Type="http://schemas.openxmlformats.org/officeDocument/2006/relationships/hyperlink" Target="https://drive.google.com/file/d/1uxoRD1RPaMlumE-z3BQ1WXoRKLvOsuId/view?usp=drive_link" TargetMode="External"/><Relationship Id="rId23" Type="http://schemas.openxmlformats.org/officeDocument/2006/relationships/hyperlink" Target="https://drive.google.com/file/d/1B255C5xjEprcq8P5tW5hUZdMpZXzxrKa/view?usp=drive_link" TargetMode="External"/><Relationship Id="rId28" Type="http://schemas.openxmlformats.org/officeDocument/2006/relationships/hyperlink" Target="https://drive.google.com/file/d/1j2tyd2JOOGP_zq0EDxPy5Xj23WziJ7yb/view?usp=drive_link" TargetMode="External"/><Relationship Id="rId10" Type="http://schemas.openxmlformats.org/officeDocument/2006/relationships/hyperlink" Target="https://drive.google.com/file/d/1VhKCIiI8THxu_xY-QWbvfeqqxVDEDNmR/view?usp=drive_link" TargetMode="External"/><Relationship Id="rId19" Type="http://schemas.openxmlformats.org/officeDocument/2006/relationships/hyperlink" Target="https://drive.google.com/file/d/1TlVQjAjTlhJ8aYElVfvCyFJzOy5POO3K/view?usp=sharing" TargetMode="External"/><Relationship Id="rId31" Type="http://schemas.openxmlformats.org/officeDocument/2006/relationships/hyperlink" Target="https://drive.google.com/file/d/1bAZJRGKVs8k-p-bCScNefhgtTOXIEWrO/view?usp=drive_link" TargetMode="External"/><Relationship Id="rId4" Type="http://schemas.openxmlformats.org/officeDocument/2006/relationships/hyperlink" Target="https://drive.google.com/drive/folders/1W5B-jA5sfIUpq4SgxzzMnnscTDd1n8cZ?usp=drive_link" TargetMode="External"/><Relationship Id="rId9" Type="http://schemas.openxmlformats.org/officeDocument/2006/relationships/hyperlink" Target="https://drive.google.com/file/d/17aTPD8fBrCdhmzSje_szMFgVVxkFVyal/view?usp=sharing" TargetMode="External"/><Relationship Id="rId14" Type="http://schemas.openxmlformats.org/officeDocument/2006/relationships/hyperlink" Target="https://drive.google.com/file/d/1IW0WPj3AsJ6pJ2Se8uLe66P7xi3Awbd4/view?usp=sharing" TargetMode="External"/><Relationship Id="rId22" Type="http://schemas.openxmlformats.org/officeDocument/2006/relationships/hyperlink" Target="https://drive.google.com/file/d/1yD0aeVN7_PsTxeI5So6m5FUh3Bm5PaKJ/view?usp=drive_link" TargetMode="External"/><Relationship Id="rId27" Type="http://schemas.openxmlformats.org/officeDocument/2006/relationships/hyperlink" Target="https://drive.google.com/file/d/17U9-YgmfdSEF_cr8J8DuTWKJ7-Rngj2D/view?usp=sharing" TargetMode="External"/><Relationship Id="rId30" Type="http://schemas.openxmlformats.org/officeDocument/2006/relationships/hyperlink" Target="https://drive.google.com/file/d/1Bbyum6OKdk-ztxWGsT1XGzcNiQCxWx18/view?usp=drive_link" TargetMode="External"/><Relationship Id="rId35" Type="http://schemas.openxmlformats.org/officeDocument/2006/relationships/hyperlink" Target="https://drive.google.com/file/d/1fMTay92r5GEHll42zW6QdCUKsXkGpdMt/view?usp=sharing" TargetMode="External"/><Relationship Id="rId8" Type="http://schemas.openxmlformats.org/officeDocument/2006/relationships/hyperlink" Target="https://drive.google.com/drive/folders/1rp8Pfog3UXYtGJuFUAYWFJhJ2SRst0hQ?usp=drive_lin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drive/folders/1MZ9m2qg6huzhG6qSOpvqroMpGANQC3LT?usp=drive_link" TargetMode="External"/><Relationship Id="rId7" Type="http://schemas.openxmlformats.org/officeDocument/2006/relationships/hyperlink" Target="https://drive.google.com/drive/folders/1cCpE1Ue7aJuFIt08hKGJrhhUR2Q23Uwy?usp=drive_link" TargetMode="External"/><Relationship Id="rId2" Type="http://schemas.openxmlformats.org/officeDocument/2006/relationships/hyperlink" Target="https://drive.google.com/drive/folders/14yO8UU_1P0OjU_1_-WJTn-QJDq-K4_5o?usp=drive_link" TargetMode="External"/><Relationship Id="rId1" Type="http://schemas.openxmlformats.org/officeDocument/2006/relationships/hyperlink" Target="https://drive.google.com/drive/folders/1W5B-jA5sfIUpq4SgxzzMnnscTDd1n8cZ?usp=drive_link" TargetMode="External"/><Relationship Id="rId6" Type="http://schemas.openxmlformats.org/officeDocument/2006/relationships/hyperlink" Target="https://drive.google.com/drive/folders/16Os-tyJN4L4gqZIPaEhv8_uS765ceccC?usp=drive_link" TargetMode="External"/><Relationship Id="rId5" Type="http://schemas.openxmlformats.org/officeDocument/2006/relationships/hyperlink" Target="https://drive.google.com/drive/folders/1rp8Pfog3UXYtGJuFUAYWFJhJ2SRst0hQ?usp=drive_link" TargetMode="External"/><Relationship Id="rId4" Type="http://schemas.openxmlformats.org/officeDocument/2006/relationships/hyperlink" Target="https://drive.google.com/drive/folders/1mDJ9fU__sYSyxHkdKi_Lmx963sW2S-Nc?usp=drive_lin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spreadsheets/d/12dWG4EfNr-WYweLJ9ahDnVv4Hc9XKj-c62j-dYy_dCg/edit?usp=sharing" TargetMode="External"/><Relationship Id="rId3" Type="http://schemas.openxmlformats.org/officeDocument/2006/relationships/hyperlink" Target="https://docs.google.com/spreadsheets/d/18lz7Ld9cRAyzxsfiy9kaBCRA-tKDJu-PdMvVMIIBSqM/edit?usp=sharing" TargetMode="External"/><Relationship Id="rId7" Type="http://schemas.openxmlformats.org/officeDocument/2006/relationships/hyperlink" Target="https://docs.google.com/spreadsheets/d/1hLouHGPykAcqX6y9a1Jw5f4qdMkjodOnEGrvuK0IaU4/edit?usp=sharing" TargetMode="External"/><Relationship Id="rId2" Type="http://schemas.openxmlformats.org/officeDocument/2006/relationships/hyperlink" Target="https://track.antk.co/login" TargetMode="External"/><Relationship Id="rId1" Type="http://schemas.openxmlformats.org/officeDocument/2006/relationships/hyperlink" Target="https://drive.google.com/drive/folders/1yIxpyxUmNDbJ-i4iX-onPhaNUfwFVI0e?usp=sharing" TargetMode="External"/><Relationship Id="rId6" Type="http://schemas.openxmlformats.org/officeDocument/2006/relationships/hyperlink" Target="https://docs.google.com/spreadsheets/d/1xd8MpMvnd28VdPU4zSi_p8bWzvbSmMuLsuZcc42NLHs/edit?usp=sharing" TargetMode="External"/><Relationship Id="rId5" Type="http://schemas.openxmlformats.org/officeDocument/2006/relationships/hyperlink" Target="https://docs.google.com/spreadsheets/d/12dWG4EfNr-WYweLJ9ahDnVv4Hc9XKj-c62j-dYy_dCg/edit?usp=sharing" TargetMode="External"/><Relationship Id="rId10" Type="http://schemas.openxmlformats.org/officeDocument/2006/relationships/hyperlink" Target="https://docs.google.com/spreadsheets/d/12dWG4EfNr-WYweLJ9ahDnVv4Hc9XKj-c62j-dYy_dCg/edit?usp=sharing" TargetMode="External"/><Relationship Id="rId4" Type="http://schemas.openxmlformats.org/officeDocument/2006/relationships/hyperlink" Target="https://docs.google.com/spreadsheets/d/1L7nw_rdQIW-bpxlRB3r1gqrFpluM908Q/edit?usp=sharing&amp;ouid=101239403420276398763&amp;rtpof=true&amp;sd=true" TargetMode="External"/><Relationship Id="rId9" Type="http://schemas.openxmlformats.org/officeDocument/2006/relationships/hyperlink" Target="https://docs.google.com/spreadsheets/d/1fCHBzSwU6mxCePL7hwfC0pgUkNndk7nJ/edit?usp=sharing&amp;ouid=101239403420276398763&amp;rtpof=true&amp;sd=tru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cs.google.com/spreadsheets/d/1R1iT4_chOAv0kkLw6xOl-B4oXJjKW-nJhdSCKxCljWQ/edit?usp=sharing" TargetMode="External"/><Relationship Id="rId3" Type="http://schemas.openxmlformats.org/officeDocument/2006/relationships/hyperlink" Target="https://docs.google.com/spreadsheets/d/183gG5HH3PVKuNN-pkIx8RHyLA-GVsTY-VACXoq23NPw/edit?usp=sharing" TargetMode="External"/><Relationship Id="rId7" Type="http://schemas.openxmlformats.org/officeDocument/2006/relationships/hyperlink" Target="https://docs.google.com/spreadsheets/d/1mUasBhwQJEl35NddlNZelSRQqgoqz1go1lBTicYo3h0/edit?usp=sharing" TargetMode="External"/><Relationship Id="rId2" Type="http://schemas.openxmlformats.org/officeDocument/2006/relationships/hyperlink" Target="https://docs.google.com/spreadsheets/d/17M4MQhT6NZv93qYwHvjJ3hDtCmar2tSv/edit?usp=sharing&amp;ouid=101239403420276398763&amp;rtpof=true&amp;sd=true" TargetMode="External"/><Relationship Id="rId1" Type="http://schemas.openxmlformats.org/officeDocument/2006/relationships/hyperlink" Target="https://drive.google.com/drive/folders/1eQGjiFM6pdQIhicwlyFEACdNKFnKBIv7?usp=sharing" TargetMode="External"/><Relationship Id="rId6" Type="http://schemas.openxmlformats.org/officeDocument/2006/relationships/hyperlink" Target="https://dangkiem5002s-tt78.vnpt-invoice.com.vn/SearchInvByCusCode/Index/" TargetMode="External"/><Relationship Id="rId5" Type="http://schemas.openxmlformats.org/officeDocument/2006/relationships/hyperlink" Target="https://docs.google.com/spreadsheets/d/1N8cA0XRuCKR6tM0c_zRri5hRNksy4SlvM3npG5x1XMA/edit?usp=sharing" TargetMode="External"/><Relationship Id="rId4" Type="http://schemas.openxmlformats.org/officeDocument/2006/relationships/hyperlink" Target="https://docs.google.com/spreadsheets/d/1mGffCBRMOrQaYb0sY8BB-uuIZZojeI7JQIxdlvTValc/edit?usp=sharin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ocs.google.com/spreadsheets/d/1GLCR3dfAoMA-AYJQAlMQkyyDQ6405U-VC2hFtxV9kuk/edit?pli=1&amp;gid=1787786724" TargetMode="External"/><Relationship Id="rId2" Type="http://schemas.openxmlformats.org/officeDocument/2006/relationships/hyperlink" Target="https://docs.google.com/spreadsheets/d/1GLCR3dfAoMA-AYJQAlMQkyyDQ6405U-VC2hFtxV9kuk/edit?pli=1&amp;gid=1289976507" TargetMode="External"/><Relationship Id="rId1" Type="http://schemas.openxmlformats.org/officeDocument/2006/relationships/hyperlink" Target="https://docs.google.com/spreadsheets/d/12dWG4EfNr-WYweLJ9ahDnVv4Hc9XKj-c62j-dYy_dCg/edit?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2dWG4EfNr-WYweLJ9ahDnVv4Hc9XKj-c62j-dYy_dCg/edit?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wx28lURHo3AtscWIRxwyS9fLa2SI660E/edit?usp=sharing&amp;ouid=101239403420276398763&amp;rtpof=true&amp;sd=tru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ocs.google.com/document/d/13ouIC-3849wqmXkQQjAd5bMY25OLmyVt/edit" TargetMode="External"/><Relationship Id="rId13" Type="http://schemas.openxmlformats.org/officeDocument/2006/relationships/hyperlink" Target="https://docs.google.com/spreadsheets/d/1i8JNpZIb5JuH7nu53vG479atFhPMHx4uvuLxVJW604Q/edit?gid=2034997504" TargetMode="External"/><Relationship Id="rId18" Type="http://schemas.openxmlformats.org/officeDocument/2006/relationships/hyperlink" Target="https://track.antk.co/login" TargetMode="External"/><Relationship Id="rId26" Type="http://schemas.openxmlformats.org/officeDocument/2006/relationships/hyperlink" Target="https://drive.google.com/drive/folders/1oWrCs6bK9_5Mk4udcBW_kSX64mgTIttg?usp=drive_link" TargetMode="External"/><Relationship Id="rId3" Type="http://schemas.openxmlformats.org/officeDocument/2006/relationships/hyperlink" Target="https://docs.google.com/spreadsheets/d/18sQfAnQUKwGoPNAXZh9zjfgr_d-WumzZ8uhDDyuLuqU/edit?gid=632260814" TargetMode="External"/><Relationship Id="rId21" Type="http://schemas.openxmlformats.org/officeDocument/2006/relationships/hyperlink" Target="https://docs.google.com/spreadsheets/d/1ZdJ9vCiFxjxOqxP5V8MUaCqJQgsRFcF7m2KqwxXJnSs/edit?usp=sharing" TargetMode="External"/><Relationship Id="rId7" Type="http://schemas.openxmlformats.org/officeDocument/2006/relationships/hyperlink" Target="https://docs.google.com/spreadsheets/d/1GLCR3dfAoMA-AYJQAlMQkyyDQ6405U-VC2hFtxV9kuk/edit?pli=1&amp;gid=319976344" TargetMode="External"/><Relationship Id="rId12" Type="http://schemas.openxmlformats.org/officeDocument/2006/relationships/hyperlink" Target="https://docs.google.com/spreadsheets/d/1plMm6Vhusb8TY2ejwtg-7kg_t1J_NrYU4wcEm3uXwRs/edit?usp=sharing" TargetMode="External"/><Relationship Id="rId17" Type="http://schemas.openxmlformats.org/officeDocument/2006/relationships/hyperlink" Target="https://anta.smartant.asia/" TargetMode="External"/><Relationship Id="rId25" Type="http://schemas.openxmlformats.org/officeDocument/2006/relationships/hyperlink" Target="https://docs.google.com/spreadsheets/d/183gG5HH3PVKuNN-pkIx8RHyLA-GVsTY-VACXoq23NPw/edit?usp=sharing" TargetMode="External"/><Relationship Id="rId2" Type="http://schemas.openxmlformats.org/officeDocument/2006/relationships/hyperlink" Target="https://drive.google.com/drive/folders/1NipwlwgxG8y-JCejQ7dst1H7vNcn5biw?usp=sharing" TargetMode="External"/><Relationship Id="rId16" Type="http://schemas.openxmlformats.org/officeDocument/2006/relationships/hyperlink" Target="https://docs.google.com/spreadsheets/d/1ExgrYzsxqkYwJjPoOozZcCgCd_iF6WSkO-sXXfxMAFE/edit?gid=271591273" TargetMode="External"/><Relationship Id="rId20" Type="http://schemas.openxmlformats.org/officeDocument/2006/relationships/hyperlink" Target="https://drive.google.com/drive/folders/1NipwlwgxG8y-JCejQ7dst1H7vNcn5biw?usp=sharing" TargetMode="External"/><Relationship Id="rId29" Type="http://schemas.openxmlformats.org/officeDocument/2006/relationships/hyperlink" Target="https://drive.google.com/drive/folders/1_FBXSwe-cq7xSyDOxGsSu6Ixo4AyE-vk?usp=drive_link" TargetMode="External"/><Relationship Id="rId1" Type="http://schemas.openxmlformats.org/officeDocument/2006/relationships/hyperlink" Target="https://docs.google.com/spreadsheets/d/1R1iT4_chOAv0kkLw6xOl-B4oXJjKW-nJhdSCKxCljWQ/edit?gid=890115137" TargetMode="External"/><Relationship Id="rId6" Type="http://schemas.openxmlformats.org/officeDocument/2006/relationships/hyperlink" Target="https://docs.google.com/spreadsheets/d/1mGffCBRMOrQaYb0sY8BB-uuIZZojeI7JQIxdlvTValc/edit?gid=571793051" TargetMode="External"/><Relationship Id="rId11" Type="http://schemas.openxmlformats.org/officeDocument/2006/relationships/hyperlink" Target="https://docs.google.com/spreadsheets/d/1U5u2-S7CB3NsBBxfCtmzL7Kd9E4xxWrP-3g-aak3kVY/edit?usp=sharing" TargetMode="External"/><Relationship Id="rId24" Type="http://schemas.openxmlformats.org/officeDocument/2006/relationships/hyperlink" Target="https://docs.google.com/spreadsheets/d/17vJ5A8S2zDLQeWCMiW4D-4TRqkw3DUvkMF6yFUmEhtA/edit?gid=942567622" TargetMode="External"/><Relationship Id="rId5" Type="http://schemas.openxmlformats.org/officeDocument/2006/relationships/hyperlink" Target="https://docs.google.com/spreadsheets/d/1QUjmnioutEfbXKCJax80FZp9k4TK00AW/edit?gid=1508291189" TargetMode="External"/><Relationship Id="rId15" Type="http://schemas.openxmlformats.org/officeDocument/2006/relationships/hyperlink" Target="https://docs.google.com/spreadsheets/d/1fcEY3sDm9AzrH2LdiYrkg6t-QSZBguG8/edit?gid=1256718454" TargetMode="External"/><Relationship Id="rId23" Type="http://schemas.openxmlformats.org/officeDocument/2006/relationships/hyperlink" Target="https://docs.google.com/spreadsheets/d/14QHxdH5ftAg-i_xsukTkogJFIgZn7WRvW-fCrN2tPW8/edit?gid=149599313" TargetMode="External"/><Relationship Id="rId28" Type="http://schemas.openxmlformats.org/officeDocument/2006/relationships/hyperlink" Target="https://drive.google.com/drive/folders/11jIHwPgD2d2fEzE39LZrAUZsT_ODUsCN?usp=drive_link" TargetMode="External"/><Relationship Id="rId10" Type="http://schemas.openxmlformats.org/officeDocument/2006/relationships/hyperlink" Target="https://docs.google.com/spreadsheets/d/1L7nw_rdQIW-bpxlRB3r1gqrFpluM908Q/edit?usp=sharing&amp;ouid=101239403420276398763&amp;rtpof=true&amp;sd=true" TargetMode="External"/><Relationship Id="rId19" Type="http://schemas.openxmlformats.org/officeDocument/2006/relationships/hyperlink" Target="https://docs.google.com/spreadsheets/d/18lz7Ld9cRAyzxsfiy9kaBCRA-tKDJu-PdMvVMIIBSqM/edit?gid=2091463278" TargetMode="External"/><Relationship Id="rId4" Type="http://schemas.openxmlformats.org/officeDocument/2006/relationships/hyperlink" Target="https://docs.google.com/spreadsheets/d/1FbUWy4N_cEy6otYez6LjGIFbY_bP7QH93JqkDHPJBpA/edit?gid=1998486256" TargetMode="External"/><Relationship Id="rId9" Type="http://schemas.openxmlformats.org/officeDocument/2006/relationships/hyperlink" Target="https://docs.google.com/spreadsheets/d/1ab4YOZDp_YStD7bJyQq74a7hdERSNE4_CV0xgCIABhM/edit?usp=sharing" TargetMode="External"/><Relationship Id="rId14" Type="http://schemas.openxmlformats.org/officeDocument/2006/relationships/hyperlink" Target="https://docs.google.com/spreadsheets/d/1GvNkPKjwjRkeIOo6v-9_HGyuB4-gwCvq/edit?usp=sharing&amp;ouid=101239403420276398763&amp;rtpof=true&amp;sd=true" TargetMode="External"/><Relationship Id="rId22" Type="http://schemas.openxmlformats.org/officeDocument/2006/relationships/hyperlink" Target="https://drive.google.com/drive/folders/1Jp6eBwx4UtNFDzV6KXD98U3TWhXPzvKm" TargetMode="External"/><Relationship Id="rId27" Type="http://schemas.openxmlformats.org/officeDocument/2006/relationships/hyperlink" Target="https://docs.google.com/spreadsheets/d/17M4MQhT6NZv93qYwHvjJ3hDtCmar2tSv/edit?usp=sharing&amp;ouid=101239403420276398763&amp;rtpof=true&amp;sd=true" TargetMode="External"/><Relationship Id="rId30" Type="http://schemas.openxmlformats.org/officeDocument/2006/relationships/hyperlink" Target="https://drive.google.com/drive/folders/1mTZbSVpIVNwtn25JoI1Mneri6beMidxN?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3"/>
  <sheetViews>
    <sheetView workbookViewId="0"/>
  </sheetViews>
  <sheetFormatPr defaultColWidth="12.6640625" defaultRowHeight="15.75" customHeight="1"/>
  <cols>
    <col min="1" max="1" width="2.21875" customWidth="1"/>
    <col min="2" max="2" width="98" customWidth="1"/>
  </cols>
  <sheetData>
    <row r="1" spans="1:2">
      <c r="A1" s="1"/>
    </row>
    <row r="2" spans="1:2" ht="15.75" customHeight="1">
      <c r="B2" s="3" t="s">
        <v>0</v>
      </c>
    </row>
    <row r="3" spans="1:2">
      <c r="A3" s="1"/>
      <c r="B3" s="6"/>
    </row>
    <row r="4" spans="1:2" ht="15.75" customHeight="1">
      <c r="A4" s="7"/>
      <c r="B4" s="8" t="s">
        <v>1</v>
      </c>
    </row>
    <row r="5" spans="1:2" ht="15.75" customHeight="1">
      <c r="A5" s="1"/>
      <c r="B5" s="11" t="s">
        <v>2</v>
      </c>
    </row>
    <row r="6" spans="1:2" ht="15.75" customHeight="1">
      <c r="A6" s="1"/>
      <c r="B6" s="11" t="s">
        <v>3</v>
      </c>
    </row>
    <row r="7" spans="1:2" ht="15.75" customHeight="1">
      <c r="A7" s="1"/>
      <c r="B7" s="11" t="s">
        <v>5</v>
      </c>
    </row>
    <row r="8" spans="1:2" ht="15.75" customHeight="1">
      <c r="A8" s="1"/>
      <c r="B8" s="11" t="s">
        <v>6</v>
      </c>
    </row>
    <row r="9" spans="1:2" ht="15.75" customHeight="1">
      <c r="A9" s="1"/>
      <c r="B9" s="8" t="s">
        <v>7</v>
      </c>
    </row>
    <row r="10" spans="1:2" ht="15.75" customHeight="1">
      <c r="A10" s="1"/>
      <c r="B10" s="11" t="s">
        <v>8</v>
      </c>
    </row>
    <row r="11" spans="1:2" ht="15.75" customHeight="1">
      <c r="A11" s="1"/>
      <c r="B11" s="11" t="s">
        <v>9</v>
      </c>
    </row>
    <row r="12" spans="1:2" ht="15.75" customHeight="1">
      <c r="A12" s="1"/>
      <c r="B12" s="11" t="s">
        <v>10</v>
      </c>
    </row>
    <row r="13" spans="1:2" ht="15.75" customHeight="1">
      <c r="A13" s="1"/>
      <c r="B13" s="8" t="s">
        <v>11</v>
      </c>
    </row>
    <row r="14" spans="1:2" ht="15.75" customHeight="1">
      <c r="A14" s="1"/>
      <c r="B14" s="11" t="s">
        <v>12</v>
      </c>
    </row>
    <row r="15" spans="1:2" ht="15.75" customHeight="1">
      <c r="A15" s="1"/>
      <c r="B15" s="11" t="s">
        <v>14</v>
      </c>
    </row>
    <row r="16" spans="1:2" ht="15.75" customHeight="1">
      <c r="A16" s="1"/>
      <c r="B16" s="11" t="s">
        <v>15</v>
      </c>
    </row>
    <row r="17" spans="1:2" ht="15.75" customHeight="1">
      <c r="A17" s="1"/>
      <c r="B17" s="11" t="s">
        <v>16</v>
      </c>
    </row>
    <row r="18" spans="1:2" ht="15.75" customHeight="1">
      <c r="A18" s="1"/>
      <c r="B18" s="8" t="s">
        <v>17</v>
      </c>
    </row>
    <row r="19" spans="1:2" ht="15.75" customHeight="1">
      <c r="B19" s="11" t="s">
        <v>18</v>
      </c>
    </row>
    <row r="20" spans="1:2" ht="15.75" customHeight="1">
      <c r="B20" s="11" t="s">
        <v>19</v>
      </c>
    </row>
    <row r="21" spans="1:2" ht="15.75" customHeight="1">
      <c r="B21" s="8" t="s">
        <v>20</v>
      </c>
    </row>
    <row r="22" spans="1:2" ht="15.75" customHeight="1">
      <c r="B22" s="11" t="s">
        <v>21</v>
      </c>
    </row>
    <row r="23" spans="1:2" ht="15.75" customHeight="1">
      <c r="B23" s="1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18"/>
  <sheetViews>
    <sheetView workbookViewId="0">
      <pane xSplit="3" ySplit="4" topLeftCell="L5" activePane="bottomRight" state="frozen"/>
      <selection pane="topRight" activeCell="D1" sqref="D1"/>
      <selection pane="bottomLeft" activeCell="A5" sqref="A5"/>
      <selection pane="bottomRight" activeCell="W5" sqref="W5"/>
    </sheetView>
  </sheetViews>
  <sheetFormatPr defaultColWidth="12.6640625" defaultRowHeight="15.75" customHeight="1"/>
  <cols>
    <col min="1" max="1" width="2.21875" customWidth="1"/>
    <col min="2" max="2" width="5.33203125" customWidth="1"/>
    <col min="5" max="5" width="17.6640625" customWidth="1"/>
    <col min="6" max="6" width="27.88671875" customWidth="1"/>
    <col min="7" max="9" width="9.44140625" customWidth="1"/>
    <col min="10" max="10" width="8" customWidth="1"/>
    <col min="11" max="11" width="8.33203125" customWidth="1"/>
    <col min="12" max="12" width="10.88671875" customWidth="1"/>
    <col min="13" max="13" width="12.21875" customWidth="1"/>
    <col min="16" max="16" width="18.109375" customWidth="1"/>
    <col min="18" max="18" width="18" customWidth="1"/>
    <col min="19" max="20" width="18.33203125" customWidth="1"/>
    <col min="21" max="21" width="16.21875" customWidth="1"/>
    <col min="22" max="22" width="15.109375" customWidth="1"/>
    <col min="26" max="31" width="4.88671875" customWidth="1"/>
  </cols>
  <sheetData>
    <row r="1" spans="1:31" ht="13.5" customHeight="1">
      <c r="A1" s="1"/>
      <c r="B1" s="2"/>
      <c r="C1" s="2"/>
      <c r="D1" s="2"/>
      <c r="E1" s="4"/>
      <c r="F1" s="5"/>
      <c r="G1" s="2"/>
      <c r="H1" s="2"/>
      <c r="I1" s="2"/>
      <c r="J1" s="2"/>
      <c r="K1" s="2"/>
      <c r="L1" s="4"/>
      <c r="M1" s="2"/>
      <c r="N1" s="4"/>
      <c r="O1" s="2"/>
      <c r="P1" s="4"/>
      <c r="Q1" s="1"/>
      <c r="R1" s="1"/>
      <c r="S1" s="1"/>
      <c r="T1" s="1"/>
      <c r="U1" s="10"/>
      <c r="V1" s="4"/>
      <c r="W1" s="2"/>
      <c r="X1" s="1"/>
      <c r="Y1" s="4"/>
      <c r="Z1" s="1"/>
      <c r="AA1" s="1"/>
      <c r="AB1" s="1"/>
      <c r="AC1" s="1"/>
      <c r="AD1" s="1"/>
      <c r="AE1" s="1"/>
    </row>
    <row r="2" spans="1:31" ht="37.200000000000003">
      <c r="B2" s="3" t="s">
        <v>4</v>
      </c>
      <c r="Q2" s="13"/>
      <c r="R2" s="13"/>
      <c r="S2" s="13"/>
      <c r="T2" s="13"/>
      <c r="W2" s="15"/>
      <c r="X2" s="13"/>
    </row>
    <row r="3" spans="1:31" ht="15.6">
      <c r="A3" s="4"/>
      <c r="B3" s="159" t="s">
        <v>13</v>
      </c>
      <c r="C3" s="161" t="s">
        <v>23</v>
      </c>
      <c r="D3" s="161" t="s">
        <v>24</v>
      </c>
      <c r="E3" s="161" t="s">
        <v>25</v>
      </c>
      <c r="F3" s="161" t="s">
        <v>26</v>
      </c>
      <c r="G3" s="161" t="s">
        <v>27</v>
      </c>
      <c r="H3" s="161" t="s">
        <v>29</v>
      </c>
      <c r="I3" s="161" t="s">
        <v>31</v>
      </c>
      <c r="J3" s="161" t="s">
        <v>33</v>
      </c>
      <c r="K3" s="161" t="s">
        <v>34</v>
      </c>
      <c r="L3" s="161" t="s">
        <v>37</v>
      </c>
      <c r="M3" s="168" t="s">
        <v>41</v>
      </c>
      <c r="N3" s="160"/>
      <c r="O3" s="168" t="s">
        <v>44</v>
      </c>
      <c r="P3" s="160"/>
      <c r="Q3" s="163" t="s">
        <v>45</v>
      </c>
      <c r="R3" s="163" t="s">
        <v>47</v>
      </c>
      <c r="S3" s="163" t="s">
        <v>48</v>
      </c>
      <c r="T3" s="163" t="s">
        <v>50</v>
      </c>
      <c r="U3" s="165" t="s">
        <v>52</v>
      </c>
      <c r="V3" s="163" t="s">
        <v>55</v>
      </c>
      <c r="W3" s="166"/>
      <c r="X3" s="167"/>
      <c r="Y3" s="27"/>
      <c r="Z3" s="4"/>
      <c r="AA3" s="4"/>
      <c r="AB3" s="4"/>
      <c r="AC3" s="4"/>
      <c r="AD3" s="4"/>
      <c r="AE3" s="4"/>
    </row>
    <row r="4" spans="1:31" ht="31.2">
      <c r="A4" s="2"/>
      <c r="B4" s="160"/>
      <c r="C4" s="162"/>
      <c r="D4" s="162"/>
      <c r="E4" s="162"/>
      <c r="F4" s="162"/>
      <c r="G4" s="162"/>
      <c r="H4" s="162"/>
      <c r="I4" s="162"/>
      <c r="J4" s="162"/>
      <c r="K4" s="162"/>
      <c r="L4" s="162"/>
      <c r="M4" s="28" t="s">
        <v>67</v>
      </c>
      <c r="N4" s="28" t="s">
        <v>69</v>
      </c>
      <c r="O4" s="28" t="s">
        <v>70</v>
      </c>
      <c r="P4" s="28" t="s">
        <v>71</v>
      </c>
      <c r="Q4" s="164"/>
      <c r="R4" s="164"/>
      <c r="S4" s="164"/>
      <c r="T4" s="164"/>
      <c r="U4" s="164"/>
      <c r="V4" s="31" t="s">
        <v>73</v>
      </c>
      <c r="W4" s="31" t="s">
        <v>75</v>
      </c>
      <c r="X4" s="31" t="s">
        <v>42</v>
      </c>
      <c r="Y4" s="27"/>
      <c r="Z4" s="2"/>
      <c r="AA4" s="2"/>
      <c r="AB4" s="2"/>
      <c r="AC4" s="2"/>
      <c r="AD4" s="2"/>
      <c r="AE4" s="2"/>
    </row>
    <row r="5" spans="1:31" ht="46.8">
      <c r="A5" s="1"/>
      <c r="B5" s="33">
        <v>1</v>
      </c>
      <c r="C5" s="34" t="s">
        <v>79</v>
      </c>
      <c r="D5" s="35" t="s">
        <v>81</v>
      </c>
      <c r="E5" s="36" t="s">
        <v>82</v>
      </c>
      <c r="F5" s="38" t="s">
        <v>83</v>
      </c>
      <c r="G5" s="35">
        <v>2014</v>
      </c>
      <c r="H5" s="40">
        <v>41671</v>
      </c>
      <c r="I5" s="41" t="s">
        <v>88</v>
      </c>
      <c r="J5" s="35">
        <v>8</v>
      </c>
      <c r="K5" s="35" t="s">
        <v>91</v>
      </c>
      <c r="L5" s="43">
        <v>46447</v>
      </c>
      <c r="M5" s="45">
        <v>46548</v>
      </c>
      <c r="N5" s="36" t="s">
        <v>93</v>
      </c>
      <c r="O5" s="45">
        <v>46081</v>
      </c>
      <c r="P5" s="36" t="s">
        <v>94</v>
      </c>
      <c r="Q5" s="53" t="s">
        <v>102</v>
      </c>
      <c r="R5" s="53" t="s">
        <v>126</v>
      </c>
      <c r="S5" s="53" t="s">
        <v>137</v>
      </c>
      <c r="T5" s="55"/>
      <c r="U5" s="57"/>
      <c r="V5" s="58" t="s">
        <v>46</v>
      </c>
      <c r="W5" s="59" t="s">
        <v>155</v>
      </c>
      <c r="X5" s="53" t="s">
        <v>65</v>
      </c>
      <c r="Y5" s="4"/>
      <c r="Z5" s="1"/>
      <c r="AA5" s="1"/>
      <c r="AB5" s="1"/>
      <c r="AC5" s="1"/>
      <c r="AD5" s="1"/>
      <c r="AE5" s="1"/>
    </row>
    <row r="6" spans="1:31" ht="46.8">
      <c r="A6" s="1"/>
      <c r="B6" s="33">
        <v>2</v>
      </c>
      <c r="C6" s="61" t="s">
        <v>163</v>
      </c>
      <c r="D6" s="61" t="s">
        <v>165</v>
      </c>
      <c r="E6" s="36" t="s">
        <v>166</v>
      </c>
      <c r="F6" s="38" t="s">
        <v>167</v>
      </c>
      <c r="G6" s="35">
        <v>2019</v>
      </c>
      <c r="H6" s="64">
        <v>44075</v>
      </c>
      <c r="I6" s="41" t="s">
        <v>88</v>
      </c>
      <c r="J6" s="35">
        <v>7</v>
      </c>
      <c r="K6" s="35" t="s">
        <v>91</v>
      </c>
      <c r="L6" s="43">
        <v>46447</v>
      </c>
      <c r="M6" s="45">
        <v>46450</v>
      </c>
      <c r="N6" s="36"/>
      <c r="O6" s="45"/>
      <c r="P6" s="36"/>
      <c r="Q6" s="65" t="s">
        <v>176</v>
      </c>
      <c r="R6" s="53" t="s">
        <v>185</v>
      </c>
      <c r="S6" s="53" t="s">
        <v>200</v>
      </c>
      <c r="T6" s="55"/>
      <c r="U6" s="57"/>
      <c r="V6" s="58" t="s">
        <v>141</v>
      </c>
      <c r="W6" s="59" t="s">
        <v>144</v>
      </c>
      <c r="X6" s="69" t="s">
        <v>150</v>
      </c>
      <c r="Y6" s="4"/>
      <c r="Z6" s="1"/>
      <c r="AA6" s="1"/>
      <c r="AB6" s="1"/>
      <c r="AC6" s="1"/>
      <c r="AD6" s="1"/>
      <c r="AE6" s="1"/>
    </row>
    <row r="7" spans="1:31" ht="62.4">
      <c r="A7" s="1"/>
      <c r="B7" s="33">
        <v>3</v>
      </c>
      <c r="C7" s="34" t="s">
        <v>229</v>
      </c>
      <c r="D7" s="35" t="s">
        <v>231</v>
      </c>
      <c r="E7" s="36" t="s">
        <v>166</v>
      </c>
      <c r="F7" s="38" t="s">
        <v>233</v>
      </c>
      <c r="G7" s="35">
        <v>2023</v>
      </c>
      <c r="H7" s="40">
        <v>45139</v>
      </c>
      <c r="I7" s="35">
        <v>2043</v>
      </c>
      <c r="J7" s="35">
        <v>16</v>
      </c>
      <c r="K7" s="35" t="s">
        <v>91</v>
      </c>
      <c r="L7" s="43">
        <v>46621</v>
      </c>
      <c r="M7" s="45">
        <v>46257</v>
      </c>
      <c r="N7" s="36" t="s">
        <v>235</v>
      </c>
      <c r="O7" s="45">
        <v>46177</v>
      </c>
      <c r="P7" s="36" t="s">
        <v>236</v>
      </c>
      <c r="Q7" s="53" t="s">
        <v>238</v>
      </c>
      <c r="R7" s="53" t="s">
        <v>256</v>
      </c>
      <c r="S7" s="53" t="s">
        <v>263</v>
      </c>
      <c r="T7" s="55"/>
      <c r="U7" s="71"/>
      <c r="V7" s="58" t="s">
        <v>84</v>
      </c>
      <c r="W7" s="59" t="s">
        <v>86</v>
      </c>
      <c r="X7" s="53" t="s">
        <v>92</v>
      </c>
      <c r="Y7" s="72"/>
      <c r="Z7" s="1"/>
      <c r="AA7" s="1"/>
      <c r="AB7" s="1"/>
      <c r="AC7" s="1"/>
      <c r="AD7" s="1"/>
      <c r="AE7" s="1"/>
    </row>
    <row r="8" spans="1:31" ht="62.4">
      <c r="A8" s="1"/>
      <c r="B8" s="33">
        <v>4</v>
      </c>
      <c r="C8" s="34" t="s">
        <v>282</v>
      </c>
      <c r="D8" s="35" t="s">
        <v>231</v>
      </c>
      <c r="E8" s="36" t="s">
        <v>166</v>
      </c>
      <c r="F8" s="38" t="s">
        <v>283</v>
      </c>
      <c r="G8" s="35">
        <v>2023</v>
      </c>
      <c r="H8" s="40">
        <v>45139</v>
      </c>
      <c r="I8" s="35">
        <v>2043</v>
      </c>
      <c r="J8" s="35">
        <v>16</v>
      </c>
      <c r="K8" s="35" t="s">
        <v>91</v>
      </c>
      <c r="L8" s="43">
        <v>46621</v>
      </c>
      <c r="M8" s="45">
        <v>46257</v>
      </c>
      <c r="N8" s="36" t="s">
        <v>235</v>
      </c>
      <c r="O8" s="45">
        <v>46177</v>
      </c>
      <c r="P8" s="36" t="s">
        <v>236</v>
      </c>
      <c r="Q8" s="53" t="s">
        <v>287</v>
      </c>
      <c r="R8" s="53" t="s">
        <v>289</v>
      </c>
      <c r="S8" s="65" t="s">
        <v>295</v>
      </c>
      <c r="T8" s="65"/>
      <c r="U8" s="71"/>
      <c r="V8" s="58" t="s">
        <v>128</v>
      </c>
      <c r="W8" s="59" t="s">
        <v>130</v>
      </c>
      <c r="X8" s="69" t="s">
        <v>133</v>
      </c>
      <c r="Y8" s="72"/>
      <c r="Z8" s="1"/>
      <c r="AA8" s="1"/>
      <c r="AB8" s="1"/>
      <c r="AC8" s="1"/>
      <c r="AD8" s="1"/>
      <c r="AE8" s="1"/>
    </row>
    <row r="9" spans="1:31" ht="62.4">
      <c r="A9" s="1"/>
      <c r="B9" s="33">
        <v>5</v>
      </c>
      <c r="C9" s="34" t="s">
        <v>325</v>
      </c>
      <c r="D9" s="35" t="s">
        <v>231</v>
      </c>
      <c r="E9" s="36" t="s">
        <v>166</v>
      </c>
      <c r="F9" s="38" t="s">
        <v>327</v>
      </c>
      <c r="G9" s="35">
        <v>2022</v>
      </c>
      <c r="H9" s="40">
        <v>44835</v>
      </c>
      <c r="I9" s="35">
        <v>2042</v>
      </c>
      <c r="J9" s="35">
        <v>16</v>
      </c>
      <c r="K9" s="35" t="s">
        <v>91</v>
      </c>
      <c r="L9" s="43">
        <v>46360</v>
      </c>
      <c r="M9" s="45">
        <v>46524</v>
      </c>
      <c r="N9" s="36" t="s">
        <v>235</v>
      </c>
      <c r="O9" s="45">
        <v>45933</v>
      </c>
      <c r="P9" s="36" t="s">
        <v>236</v>
      </c>
      <c r="Q9" s="65" t="s">
        <v>329</v>
      </c>
      <c r="R9" s="65" t="s">
        <v>331</v>
      </c>
      <c r="S9" s="69" t="s">
        <v>332</v>
      </c>
      <c r="T9" s="55"/>
      <c r="U9" s="71"/>
      <c r="V9" s="58" t="s">
        <v>46</v>
      </c>
      <c r="W9" s="59" t="s">
        <v>155</v>
      </c>
      <c r="X9" s="69" t="s">
        <v>65</v>
      </c>
      <c r="Y9" s="72"/>
      <c r="Z9" s="1"/>
      <c r="AA9" s="1"/>
      <c r="AB9" s="1"/>
      <c r="AC9" s="1"/>
      <c r="AD9" s="1"/>
      <c r="AE9" s="1"/>
    </row>
    <row r="10" spans="1:31" ht="62.4">
      <c r="A10" s="1"/>
      <c r="B10" s="33">
        <v>6</v>
      </c>
      <c r="C10" s="34" t="s">
        <v>334</v>
      </c>
      <c r="D10" s="35" t="s">
        <v>231</v>
      </c>
      <c r="E10" s="36" t="s">
        <v>335</v>
      </c>
      <c r="F10" s="38" t="s">
        <v>337</v>
      </c>
      <c r="G10" s="35">
        <v>2014</v>
      </c>
      <c r="H10" s="35"/>
      <c r="I10" s="35">
        <v>2034</v>
      </c>
      <c r="J10" s="35">
        <v>16</v>
      </c>
      <c r="K10" s="35" t="s">
        <v>91</v>
      </c>
      <c r="L10" s="92">
        <v>46352</v>
      </c>
      <c r="M10" s="45">
        <v>46242</v>
      </c>
      <c r="N10" s="36" t="s">
        <v>235</v>
      </c>
      <c r="O10" s="45">
        <v>46149</v>
      </c>
      <c r="P10" s="94" t="s">
        <v>94</v>
      </c>
      <c r="Q10" s="65" t="s">
        <v>343</v>
      </c>
      <c r="R10" s="65" t="s">
        <v>350</v>
      </c>
      <c r="S10" s="65" t="s">
        <v>357</v>
      </c>
      <c r="T10" s="65"/>
      <c r="U10" s="71"/>
      <c r="V10" s="58" t="s">
        <v>168</v>
      </c>
      <c r="W10" s="59" t="s">
        <v>171</v>
      </c>
      <c r="X10" s="53" t="s">
        <v>175</v>
      </c>
      <c r="Y10" s="72"/>
      <c r="Z10" s="1"/>
      <c r="AA10" s="1"/>
      <c r="AB10" s="1"/>
      <c r="AC10" s="1"/>
      <c r="AD10" s="1"/>
      <c r="AE10" s="1"/>
    </row>
    <row r="11" spans="1:31" ht="93.6">
      <c r="A11" s="1"/>
      <c r="B11" s="33">
        <v>7</v>
      </c>
      <c r="C11" s="108" t="s">
        <v>371</v>
      </c>
      <c r="D11" s="41" t="s">
        <v>377</v>
      </c>
      <c r="E11" s="94" t="s">
        <v>378</v>
      </c>
      <c r="F11" s="110" t="s">
        <v>379</v>
      </c>
      <c r="G11" s="41">
        <v>2010</v>
      </c>
      <c r="H11" s="41">
        <v>2010</v>
      </c>
      <c r="I11" s="41">
        <v>2030</v>
      </c>
      <c r="J11" s="41">
        <v>10</v>
      </c>
      <c r="K11" s="35" t="s">
        <v>91</v>
      </c>
      <c r="L11" s="112">
        <v>46638</v>
      </c>
      <c r="M11" s="45">
        <v>46307</v>
      </c>
      <c r="N11" s="94" t="s">
        <v>235</v>
      </c>
      <c r="O11" s="115">
        <v>46174</v>
      </c>
      <c r="P11" s="94" t="s">
        <v>94</v>
      </c>
      <c r="Q11" s="124" t="s">
        <v>421</v>
      </c>
      <c r="R11" s="125" t="s">
        <v>434</v>
      </c>
      <c r="S11" s="125" t="s">
        <v>435</v>
      </c>
      <c r="T11" s="125" t="s">
        <v>436</v>
      </c>
      <c r="U11" s="135" t="s">
        <v>442</v>
      </c>
      <c r="V11" s="137" t="s">
        <v>105</v>
      </c>
      <c r="W11" s="59" t="s">
        <v>108</v>
      </c>
      <c r="X11" s="141" t="s">
        <v>115</v>
      </c>
      <c r="Y11" s="4"/>
      <c r="Z11" s="4"/>
      <c r="AA11" s="4"/>
      <c r="AB11" s="4"/>
      <c r="AC11" s="4"/>
      <c r="AD11" s="4"/>
      <c r="AE11" s="4"/>
    </row>
    <row r="12" spans="1:31" ht="66">
      <c r="A12" s="1"/>
      <c r="B12" s="33">
        <v>8</v>
      </c>
      <c r="C12" s="35" t="s">
        <v>449</v>
      </c>
      <c r="D12" s="35" t="s">
        <v>450</v>
      </c>
      <c r="E12" s="36" t="s">
        <v>166</v>
      </c>
      <c r="F12" s="38" t="s">
        <v>455</v>
      </c>
      <c r="G12" s="35">
        <v>2023</v>
      </c>
      <c r="H12" s="40">
        <v>45261</v>
      </c>
      <c r="I12" s="144" t="s">
        <v>88</v>
      </c>
      <c r="J12" s="35">
        <v>6</v>
      </c>
      <c r="K12" s="35" t="s">
        <v>91</v>
      </c>
      <c r="L12" s="43">
        <v>46621</v>
      </c>
      <c r="M12" s="45">
        <v>46251</v>
      </c>
      <c r="N12" s="36" t="s">
        <v>459</v>
      </c>
      <c r="O12" s="45">
        <v>46083</v>
      </c>
      <c r="P12" s="36" t="s">
        <v>460</v>
      </c>
      <c r="Q12" s="65" t="s">
        <v>461</v>
      </c>
      <c r="R12" s="53" t="s">
        <v>472</v>
      </c>
      <c r="S12" s="65" t="s">
        <v>483</v>
      </c>
      <c r="T12" s="65"/>
      <c r="U12" s="57" t="s">
        <v>493</v>
      </c>
      <c r="V12" s="147" t="s">
        <v>156</v>
      </c>
      <c r="W12" s="59" t="s">
        <v>51</v>
      </c>
      <c r="X12" s="69" t="s">
        <v>160</v>
      </c>
      <c r="Y12" s="4"/>
      <c r="Z12" s="1"/>
      <c r="AA12" s="1"/>
      <c r="AB12" s="1"/>
      <c r="AC12" s="1"/>
      <c r="AD12" s="1"/>
      <c r="AE12" s="1"/>
    </row>
    <row r="13" spans="1:31" ht="109.2">
      <c r="A13" s="1"/>
      <c r="B13" s="33">
        <v>9</v>
      </c>
      <c r="C13" s="28" t="s">
        <v>496</v>
      </c>
      <c r="D13" s="35" t="s">
        <v>498</v>
      </c>
      <c r="E13" s="36" t="s">
        <v>499</v>
      </c>
      <c r="F13" s="38" t="s">
        <v>500</v>
      </c>
      <c r="G13" s="35">
        <v>2014</v>
      </c>
      <c r="H13" s="40">
        <v>41944</v>
      </c>
      <c r="I13" s="35">
        <v>2034</v>
      </c>
      <c r="J13" s="35">
        <v>16</v>
      </c>
      <c r="K13" s="35" t="s">
        <v>91</v>
      </c>
      <c r="L13" s="36" t="s">
        <v>501</v>
      </c>
      <c r="M13" s="45">
        <v>46238</v>
      </c>
      <c r="N13" s="36" t="s">
        <v>235</v>
      </c>
      <c r="O13" s="45">
        <v>45740</v>
      </c>
      <c r="P13" s="36" t="s">
        <v>502</v>
      </c>
      <c r="Q13" s="55"/>
      <c r="R13" s="55"/>
      <c r="S13" s="55"/>
      <c r="T13" s="55"/>
      <c r="U13" s="57" t="s">
        <v>503</v>
      </c>
      <c r="V13" s="58"/>
      <c r="W13" s="59"/>
      <c r="X13" s="55"/>
      <c r="Y13" s="72"/>
      <c r="Z13" s="1"/>
      <c r="AA13" s="1"/>
      <c r="AB13" s="1"/>
      <c r="AC13" s="1"/>
      <c r="AD13" s="1"/>
      <c r="AE13" s="1"/>
    </row>
    <row r="14" spans="1:31" ht="62.4">
      <c r="A14" s="1"/>
      <c r="B14" s="33">
        <v>10</v>
      </c>
      <c r="C14" s="28" t="s">
        <v>504</v>
      </c>
      <c r="D14" s="61" t="s">
        <v>505</v>
      </c>
      <c r="E14" s="36" t="s">
        <v>82</v>
      </c>
      <c r="F14" s="38" t="s">
        <v>506</v>
      </c>
      <c r="G14" s="35">
        <v>2014</v>
      </c>
      <c r="H14" s="40">
        <v>41730</v>
      </c>
      <c r="I14" s="144" t="s">
        <v>88</v>
      </c>
      <c r="J14" s="35">
        <v>5</v>
      </c>
      <c r="K14" s="35" t="s">
        <v>91</v>
      </c>
      <c r="L14" s="43">
        <v>46533</v>
      </c>
      <c r="M14" s="35"/>
      <c r="N14" s="36"/>
      <c r="O14" s="45">
        <v>46170</v>
      </c>
      <c r="P14" s="36"/>
      <c r="Q14" s="55"/>
      <c r="R14" s="53" t="s">
        <v>514</v>
      </c>
      <c r="S14" s="55"/>
      <c r="T14" s="55"/>
      <c r="U14" s="57" t="s">
        <v>542</v>
      </c>
      <c r="V14" s="58"/>
      <c r="W14" s="35"/>
      <c r="X14" s="55"/>
      <c r="Y14" s="4"/>
      <c r="Z14" s="1"/>
      <c r="AA14" s="1"/>
      <c r="AB14" s="1"/>
      <c r="AC14" s="1"/>
      <c r="AD14" s="1"/>
      <c r="AE14" s="1"/>
    </row>
    <row r="15" spans="1:31" ht="124.8">
      <c r="A15" s="1"/>
      <c r="B15" s="33">
        <v>11</v>
      </c>
      <c r="C15" s="149" t="s">
        <v>545</v>
      </c>
      <c r="D15" s="35" t="s">
        <v>548</v>
      </c>
      <c r="E15" s="94" t="s">
        <v>550</v>
      </c>
      <c r="F15" s="110" t="s">
        <v>552</v>
      </c>
      <c r="G15" s="41">
        <v>2023</v>
      </c>
      <c r="H15" s="41">
        <v>2023</v>
      </c>
      <c r="I15" s="144" t="s">
        <v>88</v>
      </c>
      <c r="J15" s="41">
        <v>7</v>
      </c>
      <c r="K15" s="7" t="s">
        <v>559</v>
      </c>
      <c r="L15" s="94" t="s">
        <v>562</v>
      </c>
      <c r="M15" s="45">
        <v>46164</v>
      </c>
      <c r="N15" s="94"/>
      <c r="O15" s="41"/>
      <c r="P15" s="94"/>
      <c r="Q15" s="150"/>
      <c r="R15" s="150"/>
      <c r="S15" s="150"/>
      <c r="T15" s="125" t="s">
        <v>570</v>
      </c>
      <c r="U15" s="135" t="s">
        <v>589</v>
      </c>
      <c r="V15" s="94"/>
      <c r="W15" s="41"/>
      <c r="X15" s="152"/>
      <c r="Y15" s="4"/>
      <c r="Z15" s="4"/>
      <c r="AA15" s="4"/>
      <c r="AB15" s="4"/>
      <c r="AC15" s="4"/>
      <c r="AD15" s="4"/>
      <c r="AE15" s="4"/>
    </row>
    <row r="16" spans="1:31" ht="15.6">
      <c r="A16" s="1"/>
      <c r="B16" s="2"/>
      <c r="C16" s="153"/>
      <c r="D16" s="2"/>
      <c r="E16" s="4"/>
      <c r="F16" s="154"/>
      <c r="G16" s="2"/>
      <c r="H16" s="2"/>
      <c r="I16" s="2"/>
      <c r="J16" s="2"/>
      <c r="L16" s="4"/>
      <c r="M16" s="155"/>
      <c r="N16" s="4"/>
      <c r="O16" s="2"/>
      <c r="P16" s="4"/>
      <c r="Q16" s="1"/>
      <c r="R16" s="1"/>
      <c r="S16" s="1"/>
      <c r="T16" s="1"/>
      <c r="U16" s="72"/>
      <c r="V16" s="4"/>
      <c r="W16" s="2"/>
      <c r="X16" s="1"/>
      <c r="Y16" s="4"/>
      <c r="Z16" s="4"/>
      <c r="AA16" s="4"/>
      <c r="AB16" s="4"/>
      <c r="AC16" s="4"/>
      <c r="AD16" s="4"/>
      <c r="AE16" s="4"/>
    </row>
    <row r="17" spans="1:31" ht="15.6">
      <c r="A17" s="1"/>
      <c r="B17" s="2"/>
      <c r="C17" s="153"/>
      <c r="D17" s="2"/>
      <c r="E17" s="4"/>
      <c r="F17" s="154"/>
      <c r="G17" s="2"/>
      <c r="H17" s="2"/>
      <c r="I17" s="2"/>
      <c r="J17" s="2"/>
      <c r="L17" s="4"/>
      <c r="M17" s="155"/>
      <c r="N17" s="4"/>
      <c r="O17" s="2"/>
      <c r="P17" s="4"/>
      <c r="Q17" s="1"/>
      <c r="R17" s="1"/>
      <c r="S17" s="1"/>
      <c r="T17" s="1"/>
      <c r="U17" s="72"/>
      <c r="V17" s="4"/>
      <c r="W17" s="2"/>
      <c r="X17" s="1"/>
      <c r="Y17" s="4"/>
      <c r="Z17" s="4"/>
      <c r="AA17" s="4"/>
      <c r="AB17" s="4"/>
      <c r="AC17" s="4"/>
      <c r="AD17" s="4"/>
      <c r="AE17" s="4"/>
    </row>
    <row r="18" spans="1:31" ht="15.6">
      <c r="A18" s="1"/>
      <c r="B18" s="2"/>
      <c r="C18" s="153"/>
      <c r="D18" s="2"/>
      <c r="E18" s="4"/>
      <c r="F18" s="154"/>
      <c r="G18" s="2"/>
      <c r="H18" s="2"/>
      <c r="I18" s="2"/>
      <c r="J18" s="2"/>
      <c r="L18" s="4"/>
      <c r="M18" s="155"/>
      <c r="N18" s="4"/>
      <c r="O18" s="2"/>
      <c r="P18" s="4"/>
      <c r="Q18" s="1"/>
      <c r="R18" s="1"/>
      <c r="S18" s="1"/>
      <c r="T18" s="1"/>
      <c r="U18" s="72"/>
      <c r="V18" s="4"/>
      <c r="W18" s="2"/>
      <c r="X18" s="1"/>
      <c r="Y18" s="4"/>
      <c r="Z18" s="4"/>
      <c r="AA18" s="4"/>
      <c r="AB18" s="4"/>
      <c r="AC18" s="4"/>
      <c r="AD18" s="4"/>
      <c r="AE18" s="4"/>
    </row>
  </sheetData>
  <mergeCells count="19">
    <mergeCell ref="U3:U4"/>
    <mergeCell ref="V3:X3"/>
    <mergeCell ref="I3:I4"/>
    <mergeCell ref="J3:J4"/>
    <mergeCell ref="K3:K4"/>
    <mergeCell ref="L3:L4"/>
    <mergeCell ref="M3:N3"/>
    <mergeCell ref="O3:P3"/>
    <mergeCell ref="Q3:Q4"/>
    <mergeCell ref="G3:G4"/>
    <mergeCell ref="H3:H4"/>
    <mergeCell ref="R3:R4"/>
    <mergeCell ref="S3:S4"/>
    <mergeCell ref="T3:T4"/>
    <mergeCell ref="B3:B4"/>
    <mergeCell ref="C3:C4"/>
    <mergeCell ref="D3:D4"/>
    <mergeCell ref="E3:E4"/>
    <mergeCell ref="F3:F4"/>
  </mergeCells>
  <hyperlinks>
    <hyperlink ref="Q5" r:id="rId1" xr:uid="{00000000-0004-0000-0100-000000000000}"/>
    <hyperlink ref="R5" r:id="rId2" xr:uid="{00000000-0004-0000-0100-000001000000}"/>
    <hyperlink ref="S5" r:id="rId3" xr:uid="{00000000-0004-0000-0100-000002000000}"/>
    <hyperlink ref="X5" r:id="rId4" xr:uid="{00000000-0004-0000-0100-000003000000}"/>
    <hyperlink ref="Q6" r:id="rId5" xr:uid="{00000000-0004-0000-0100-000004000000}"/>
    <hyperlink ref="R6" r:id="rId6" xr:uid="{00000000-0004-0000-0100-000005000000}"/>
    <hyperlink ref="S6" r:id="rId7" xr:uid="{00000000-0004-0000-0100-000006000000}"/>
    <hyperlink ref="X6" r:id="rId8" xr:uid="{00000000-0004-0000-0100-000007000000}"/>
    <hyperlink ref="Q7" r:id="rId9" xr:uid="{00000000-0004-0000-0100-000008000000}"/>
    <hyperlink ref="R7" r:id="rId10" xr:uid="{00000000-0004-0000-0100-000009000000}"/>
    <hyperlink ref="S7" r:id="rId11" xr:uid="{00000000-0004-0000-0100-00000A000000}"/>
    <hyperlink ref="X7" r:id="rId12" xr:uid="{00000000-0004-0000-0100-00000B000000}"/>
    <hyperlink ref="Q8" r:id="rId13" xr:uid="{00000000-0004-0000-0100-00000C000000}"/>
    <hyperlink ref="R8" r:id="rId14" xr:uid="{00000000-0004-0000-0100-00000D000000}"/>
    <hyperlink ref="S8" r:id="rId15" xr:uid="{00000000-0004-0000-0100-00000E000000}"/>
    <hyperlink ref="X8" r:id="rId16" xr:uid="{00000000-0004-0000-0100-00000F000000}"/>
    <hyperlink ref="Q9" r:id="rId17" xr:uid="{00000000-0004-0000-0100-000010000000}"/>
    <hyperlink ref="R9" r:id="rId18" xr:uid="{00000000-0004-0000-0100-000011000000}"/>
    <hyperlink ref="S9" r:id="rId19" xr:uid="{00000000-0004-0000-0100-000012000000}"/>
    <hyperlink ref="X9" r:id="rId20" xr:uid="{00000000-0004-0000-0100-000013000000}"/>
    <hyperlink ref="Q10" r:id="rId21" xr:uid="{00000000-0004-0000-0100-000014000000}"/>
    <hyperlink ref="R10" r:id="rId22" xr:uid="{00000000-0004-0000-0100-000015000000}"/>
    <hyperlink ref="S10" r:id="rId23" xr:uid="{00000000-0004-0000-0100-000016000000}"/>
    <hyperlink ref="X10" r:id="rId24" xr:uid="{00000000-0004-0000-0100-000017000000}"/>
    <hyperlink ref="Q11" r:id="rId25" xr:uid="{00000000-0004-0000-0100-000018000000}"/>
    <hyperlink ref="R11" r:id="rId26" xr:uid="{00000000-0004-0000-0100-000019000000}"/>
    <hyperlink ref="S11" r:id="rId27" xr:uid="{00000000-0004-0000-0100-00001A000000}"/>
    <hyperlink ref="T11" r:id="rId28" xr:uid="{00000000-0004-0000-0100-00001B000000}"/>
    <hyperlink ref="X11" r:id="rId29" xr:uid="{00000000-0004-0000-0100-00001C000000}"/>
    <hyperlink ref="Q12" r:id="rId30" xr:uid="{00000000-0004-0000-0100-00001D000000}"/>
    <hyperlink ref="R12" r:id="rId31" xr:uid="{00000000-0004-0000-0100-00001E000000}"/>
    <hyperlink ref="S12" r:id="rId32" xr:uid="{00000000-0004-0000-0100-00001F000000}"/>
    <hyperlink ref="X12" r:id="rId33" xr:uid="{00000000-0004-0000-0100-000020000000}"/>
    <hyperlink ref="R14" r:id="rId34" xr:uid="{00000000-0004-0000-0100-000021000000}"/>
    <hyperlink ref="T15" r:id="rId35" xr:uid="{00000000-0004-0000-0100-000022000000}"/>
  </hyperlinks>
  <printOptions horizontalCentered="1"/>
  <pageMargins left="0.25" right="0.25"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
  <sheetViews>
    <sheetView tabSelected="1" workbookViewId="0">
      <selection activeCell="G17" sqref="G17"/>
    </sheetView>
  </sheetViews>
  <sheetFormatPr defaultColWidth="12.6640625" defaultRowHeight="15.75" customHeight="1"/>
  <cols>
    <col min="1" max="1" width="3.33203125" customWidth="1"/>
    <col min="2" max="2" width="6.88671875" customWidth="1"/>
    <col min="3" max="3" width="20" customWidth="1"/>
    <col min="4" max="7" width="15.33203125" customWidth="1"/>
    <col min="8" max="8" width="15.21875" customWidth="1"/>
    <col min="9" max="9" width="11.88671875" customWidth="1"/>
    <col min="10" max="10" width="15.21875" customWidth="1"/>
    <col min="11" max="11" width="17.21875" customWidth="1"/>
  </cols>
  <sheetData>
    <row r="1" spans="1:27" ht="16.8">
      <c r="A1" s="9"/>
      <c r="B1" s="12"/>
      <c r="C1" s="9"/>
      <c r="D1" s="12"/>
      <c r="E1" s="14"/>
      <c r="F1" s="14"/>
      <c r="G1" s="14"/>
      <c r="H1" s="12"/>
      <c r="I1" s="12"/>
      <c r="J1" s="12"/>
      <c r="K1" s="9"/>
      <c r="L1" s="9"/>
      <c r="M1" s="9"/>
      <c r="N1" s="9"/>
      <c r="O1" s="9"/>
      <c r="P1" s="9"/>
      <c r="Q1" s="9"/>
      <c r="R1" s="9"/>
      <c r="S1" s="9"/>
      <c r="T1" s="9"/>
      <c r="U1" s="9"/>
      <c r="V1" s="9"/>
      <c r="W1" s="9"/>
      <c r="X1" s="9"/>
      <c r="Y1" s="9"/>
      <c r="Z1" s="9"/>
      <c r="AA1" s="9"/>
    </row>
    <row r="2" spans="1:27" ht="33" customHeight="1">
      <c r="A2" s="16"/>
      <c r="B2" s="18" t="s">
        <v>13</v>
      </c>
      <c r="C2" s="18" t="s">
        <v>28</v>
      </c>
      <c r="D2" s="18" t="s">
        <v>30</v>
      </c>
      <c r="E2" s="19" t="s">
        <v>32</v>
      </c>
      <c r="F2" s="19" t="s">
        <v>35</v>
      </c>
      <c r="G2" s="19" t="s">
        <v>36</v>
      </c>
      <c r="H2" s="18" t="s">
        <v>38</v>
      </c>
      <c r="I2" s="18" t="s">
        <v>39</v>
      </c>
      <c r="J2" s="18" t="s">
        <v>40</v>
      </c>
      <c r="K2" s="18" t="s">
        <v>42</v>
      </c>
      <c r="L2" s="16"/>
      <c r="M2" s="16"/>
      <c r="N2" s="16"/>
      <c r="O2" s="16"/>
      <c r="P2" s="16"/>
      <c r="Q2" s="16"/>
      <c r="R2" s="16"/>
      <c r="S2" s="16"/>
      <c r="T2" s="16"/>
      <c r="U2" s="16"/>
      <c r="V2" s="16"/>
      <c r="W2" s="16"/>
      <c r="X2" s="16"/>
      <c r="Y2" s="16"/>
      <c r="Z2" s="16"/>
      <c r="AA2" s="16"/>
    </row>
    <row r="3" spans="1:27" ht="33" customHeight="1">
      <c r="A3" s="9"/>
      <c r="B3" s="21">
        <v>1</v>
      </c>
      <c r="C3" s="23" t="s">
        <v>46</v>
      </c>
      <c r="D3" s="21" t="s">
        <v>49</v>
      </c>
      <c r="E3" s="59" t="s">
        <v>155</v>
      </c>
      <c r="F3" s="24" t="s">
        <v>53</v>
      </c>
      <c r="G3" s="24" t="s">
        <v>54</v>
      </c>
      <c r="H3" s="26">
        <v>46911</v>
      </c>
      <c r="I3" s="21" t="s">
        <v>62</v>
      </c>
      <c r="J3" s="26">
        <v>27357</v>
      </c>
      <c r="K3" s="37" t="s">
        <v>65</v>
      </c>
      <c r="L3" s="9"/>
      <c r="M3" s="9"/>
      <c r="N3" s="9"/>
      <c r="O3" s="9"/>
      <c r="P3" s="9"/>
      <c r="Q3" s="9"/>
      <c r="R3" s="9"/>
      <c r="S3" s="9"/>
      <c r="T3" s="9"/>
      <c r="U3" s="9"/>
      <c r="V3" s="9"/>
      <c r="W3" s="9"/>
      <c r="X3" s="9"/>
      <c r="Y3" s="9"/>
      <c r="Z3" s="9"/>
      <c r="AA3" s="9"/>
    </row>
    <row r="4" spans="1:27" ht="33" customHeight="1">
      <c r="A4" s="9"/>
      <c r="B4" s="21">
        <v>2</v>
      </c>
      <c r="C4" s="23" t="s">
        <v>84</v>
      </c>
      <c r="D4" s="21" t="s">
        <v>85</v>
      </c>
      <c r="E4" s="24" t="s">
        <v>86</v>
      </c>
      <c r="F4" s="24" t="s">
        <v>87</v>
      </c>
      <c r="G4" s="24" t="s">
        <v>89</v>
      </c>
      <c r="H4" s="26">
        <v>47288</v>
      </c>
      <c r="I4" s="21" t="s">
        <v>62</v>
      </c>
      <c r="J4" s="26">
        <v>30087</v>
      </c>
      <c r="K4" s="37" t="s">
        <v>92</v>
      </c>
      <c r="L4" s="9"/>
      <c r="M4" s="9"/>
      <c r="N4" s="9"/>
      <c r="O4" s="9"/>
      <c r="P4" s="9"/>
      <c r="Q4" s="9"/>
      <c r="R4" s="9"/>
      <c r="S4" s="9"/>
      <c r="T4" s="9"/>
      <c r="U4" s="9"/>
      <c r="V4" s="9"/>
      <c r="W4" s="9"/>
      <c r="X4" s="9"/>
      <c r="Y4" s="9"/>
      <c r="Z4" s="9"/>
      <c r="AA4" s="9"/>
    </row>
    <row r="5" spans="1:27" ht="33" customHeight="1">
      <c r="A5" s="9"/>
      <c r="B5" s="21">
        <v>3</v>
      </c>
      <c r="C5" s="23" t="s">
        <v>105</v>
      </c>
      <c r="D5" s="21" t="s">
        <v>106</v>
      </c>
      <c r="E5" s="24" t="s">
        <v>108</v>
      </c>
      <c r="F5" s="24" t="s">
        <v>109</v>
      </c>
      <c r="G5" s="24" t="s">
        <v>110</v>
      </c>
      <c r="H5" s="51">
        <v>47834</v>
      </c>
      <c r="I5" s="21" t="s">
        <v>62</v>
      </c>
      <c r="J5" s="51">
        <v>33343</v>
      </c>
      <c r="K5" s="37" t="s">
        <v>115</v>
      </c>
      <c r="L5" s="9"/>
      <c r="M5" s="9"/>
      <c r="N5" s="9"/>
      <c r="O5" s="9"/>
      <c r="P5" s="9"/>
      <c r="Q5" s="9"/>
      <c r="R5" s="9"/>
      <c r="S5" s="9"/>
      <c r="T5" s="9"/>
      <c r="U5" s="9"/>
      <c r="V5" s="9"/>
      <c r="W5" s="9"/>
      <c r="X5" s="9"/>
      <c r="Y5" s="9"/>
      <c r="Z5" s="9"/>
      <c r="AA5" s="9"/>
    </row>
    <row r="6" spans="1:27" ht="33" customHeight="1">
      <c r="A6" s="9"/>
      <c r="B6" s="21">
        <v>4</v>
      </c>
      <c r="C6" s="23" t="s">
        <v>128</v>
      </c>
      <c r="D6" s="21" t="s">
        <v>129</v>
      </c>
      <c r="E6" s="24" t="s">
        <v>130</v>
      </c>
      <c r="F6" s="24" t="s">
        <v>131</v>
      </c>
      <c r="G6" s="24" t="s">
        <v>132</v>
      </c>
      <c r="H6" s="26">
        <v>46919</v>
      </c>
      <c r="I6" s="21" t="s">
        <v>62</v>
      </c>
      <c r="J6" s="26">
        <v>31413</v>
      </c>
      <c r="K6" s="37" t="s">
        <v>133</v>
      </c>
      <c r="L6" s="9"/>
      <c r="M6" s="9"/>
      <c r="N6" s="9"/>
      <c r="O6" s="9"/>
      <c r="P6" s="9"/>
      <c r="Q6" s="9"/>
      <c r="R6" s="9"/>
      <c r="S6" s="9"/>
      <c r="T6" s="9"/>
      <c r="U6" s="9"/>
      <c r="V6" s="9"/>
      <c r="W6" s="9"/>
      <c r="X6" s="9"/>
      <c r="Y6" s="9"/>
      <c r="Z6" s="9"/>
      <c r="AA6" s="9"/>
    </row>
    <row r="7" spans="1:27" ht="33" customHeight="1">
      <c r="A7" s="9"/>
      <c r="B7" s="21">
        <v>5</v>
      </c>
      <c r="C7" s="23" t="s">
        <v>141</v>
      </c>
      <c r="D7" s="21" t="s">
        <v>143</v>
      </c>
      <c r="E7" s="24" t="s">
        <v>144</v>
      </c>
      <c r="F7" s="24" t="s">
        <v>146</v>
      </c>
      <c r="G7" s="24" t="s">
        <v>147</v>
      </c>
      <c r="H7" s="51">
        <v>47053</v>
      </c>
      <c r="I7" s="21" t="s">
        <v>149</v>
      </c>
      <c r="J7" s="51">
        <v>32847</v>
      </c>
      <c r="K7" s="37" t="s">
        <v>150</v>
      </c>
      <c r="L7" s="9"/>
      <c r="M7" s="9"/>
      <c r="N7" s="9"/>
      <c r="O7" s="9"/>
      <c r="P7" s="9"/>
      <c r="Q7" s="9"/>
      <c r="R7" s="9"/>
      <c r="S7" s="9"/>
      <c r="T7" s="9"/>
      <c r="U7" s="9"/>
      <c r="V7" s="9"/>
      <c r="W7" s="9"/>
      <c r="X7" s="9"/>
      <c r="Y7" s="9"/>
      <c r="Z7" s="9"/>
      <c r="AA7" s="9"/>
    </row>
    <row r="8" spans="1:27" ht="33" customHeight="1">
      <c r="A8" s="9"/>
      <c r="B8" s="21">
        <v>6</v>
      </c>
      <c r="C8" s="23" t="s">
        <v>156</v>
      </c>
      <c r="D8" s="21" t="s">
        <v>157</v>
      </c>
      <c r="E8" s="24" t="s">
        <v>51</v>
      </c>
      <c r="F8" s="24" t="s">
        <v>158</v>
      </c>
      <c r="G8" s="24" t="s">
        <v>159</v>
      </c>
      <c r="H8" s="26">
        <v>46284</v>
      </c>
      <c r="I8" s="21" t="s">
        <v>149</v>
      </c>
      <c r="J8" s="26">
        <v>31105</v>
      </c>
      <c r="K8" s="37" t="s">
        <v>160</v>
      </c>
      <c r="L8" s="9"/>
      <c r="M8" s="9"/>
      <c r="N8" s="9"/>
      <c r="O8" s="9"/>
      <c r="P8" s="9"/>
      <c r="Q8" s="9"/>
      <c r="R8" s="9"/>
      <c r="S8" s="9"/>
      <c r="T8" s="9"/>
      <c r="U8" s="9"/>
      <c r="V8" s="9"/>
      <c r="W8" s="9"/>
      <c r="X8" s="9"/>
      <c r="Y8" s="9"/>
      <c r="Z8" s="9"/>
      <c r="AA8" s="9"/>
    </row>
    <row r="9" spans="1:27" ht="33" customHeight="1">
      <c r="A9" s="9"/>
      <c r="B9" s="21">
        <v>7</v>
      </c>
      <c r="C9" s="23" t="s">
        <v>168</v>
      </c>
      <c r="D9" s="21" t="s">
        <v>169</v>
      </c>
      <c r="E9" s="24" t="s">
        <v>171</v>
      </c>
      <c r="F9" s="24" t="s">
        <v>172</v>
      </c>
      <c r="G9" s="24" t="s">
        <v>173</v>
      </c>
      <c r="H9" s="26">
        <v>46388</v>
      </c>
      <c r="I9" s="21" t="s">
        <v>62</v>
      </c>
      <c r="J9" s="26">
        <v>32526</v>
      </c>
      <c r="K9" s="37" t="s">
        <v>175</v>
      </c>
      <c r="L9" s="9"/>
      <c r="M9" s="9"/>
      <c r="N9" s="9"/>
      <c r="O9" s="9"/>
      <c r="P9" s="9"/>
      <c r="Q9" s="9"/>
      <c r="R9" s="9"/>
      <c r="S9" s="9"/>
      <c r="T9" s="9"/>
      <c r="U9" s="9"/>
      <c r="V9" s="9"/>
      <c r="W9" s="9"/>
      <c r="X9" s="9"/>
      <c r="Y9" s="9"/>
      <c r="Z9" s="9"/>
      <c r="AA9" s="9"/>
    </row>
    <row r="10" spans="1:27" ht="16.8">
      <c r="A10" s="9"/>
      <c r="B10" s="12"/>
      <c r="C10" s="9"/>
      <c r="D10" s="12"/>
      <c r="E10" s="14"/>
      <c r="F10" s="14"/>
      <c r="G10" s="14"/>
      <c r="H10" s="12"/>
      <c r="I10" s="12"/>
      <c r="J10" s="12"/>
      <c r="K10" s="9"/>
      <c r="L10" s="9"/>
      <c r="M10" s="9"/>
      <c r="N10" s="9"/>
      <c r="O10" s="9"/>
      <c r="P10" s="9"/>
      <c r="Q10" s="9"/>
      <c r="R10" s="9"/>
      <c r="S10" s="9"/>
      <c r="T10" s="9"/>
      <c r="U10" s="9"/>
      <c r="V10" s="9"/>
      <c r="W10" s="9"/>
      <c r="X10" s="9"/>
      <c r="Y10" s="9"/>
      <c r="Z10" s="9"/>
      <c r="AA10" s="9"/>
    </row>
  </sheetData>
  <hyperlinks>
    <hyperlink ref="K3" r:id="rId1" xr:uid="{00000000-0004-0000-0200-000000000000}"/>
    <hyperlink ref="K4" r:id="rId2" xr:uid="{00000000-0004-0000-0200-000001000000}"/>
    <hyperlink ref="K5" r:id="rId3" xr:uid="{00000000-0004-0000-0200-000002000000}"/>
    <hyperlink ref="K6" r:id="rId4" xr:uid="{00000000-0004-0000-0200-000003000000}"/>
    <hyperlink ref="K7" r:id="rId5" xr:uid="{00000000-0004-0000-0200-000004000000}"/>
    <hyperlink ref="K8" r:id="rId6" xr:uid="{00000000-0004-0000-0200-000005000000}"/>
    <hyperlink ref="K9"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8"/>
  <sheetViews>
    <sheetView workbookViewId="0"/>
  </sheetViews>
  <sheetFormatPr defaultColWidth="12.6640625" defaultRowHeight="15.75" customHeight="1"/>
  <cols>
    <col min="1" max="1" width="2.21875" customWidth="1"/>
    <col min="2" max="2" width="25.44140625" customWidth="1"/>
    <col min="3" max="6" width="23.21875" customWidth="1"/>
    <col min="7" max="7" width="22.77734375" customWidth="1"/>
    <col min="8" max="8" width="30.33203125" customWidth="1"/>
    <col min="9" max="9" width="22.44140625" customWidth="1"/>
    <col min="10" max="10" width="26" customWidth="1"/>
  </cols>
  <sheetData>
    <row r="1" spans="1:26">
      <c r="A1" s="1"/>
      <c r="B1" s="16"/>
      <c r="C1" s="16"/>
      <c r="D1" s="17"/>
      <c r="E1" s="17"/>
      <c r="F1" s="16"/>
      <c r="G1" s="16"/>
      <c r="H1" s="16"/>
      <c r="I1" s="16"/>
      <c r="J1" s="16"/>
      <c r="K1" s="16"/>
      <c r="L1" s="16"/>
      <c r="M1" s="16"/>
      <c r="N1" s="16"/>
      <c r="O1" s="16"/>
      <c r="P1" s="16"/>
      <c r="Q1" s="16"/>
      <c r="R1" s="16"/>
      <c r="S1" s="16"/>
      <c r="T1" s="16"/>
      <c r="U1" s="16"/>
      <c r="V1" s="16"/>
      <c r="W1" s="16"/>
      <c r="X1" s="16"/>
      <c r="Y1" s="16"/>
      <c r="Z1" s="16"/>
    </row>
    <row r="2" spans="1:26" ht="15.75" customHeight="1">
      <c r="B2" s="3" t="s">
        <v>43</v>
      </c>
    </row>
    <row r="3" spans="1:26">
      <c r="A3" s="1"/>
      <c r="B3" s="20"/>
      <c r="C3" s="20"/>
      <c r="D3" s="20"/>
      <c r="E3" s="22"/>
      <c r="F3" s="20"/>
      <c r="G3" s="20"/>
      <c r="H3" s="22"/>
      <c r="I3" s="22"/>
      <c r="J3" s="22"/>
      <c r="K3" s="22"/>
      <c r="L3" s="22"/>
      <c r="M3" s="22"/>
      <c r="N3" s="22"/>
      <c r="O3" s="22"/>
      <c r="P3" s="22"/>
      <c r="Q3" s="22"/>
      <c r="R3" s="22"/>
      <c r="S3" s="22"/>
      <c r="T3" s="22"/>
      <c r="U3" s="22"/>
      <c r="V3" s="22"/>
      <c r="W3" s="22"/>
      <c r="X3" s="22"/>
      <c r="Y3" s="22"/>
      <c r="Z3" s="22"/>
    </row>
    <row r="4" spans="1:26">
      <c r="A4" s="7"/>
      <c r="B4" s="25" t="s">
        <v>56</v>
      </c>
      <c r="C4" s="25" t="s">
        <v>57</v>
      </c>
      <c r="D4" s="25" t="s">
        <v>58</v>
      </c>
      <c r="E4" s="18" t="s">
        <v>59</v>
      </c>
      <c r="F4" s="25" t="s">
        <v>60</v>
      </c>
      <c r="G4" s="25" t="s">
        <v>61</v>
      </c>
      <c r="H4" s="18" t="s">
        <v>63</v>
      </c>
      <c r="I4" s="18" t="s">
        <v>64</v>
      </c>
      <c r="J4" s="18" t="s">
        <v>66</v>
      </c>
      <c r="K4" s="22"/>
      <c r="L4" s="22"/>
      <c r="M4" s="22"/>
      <c r="N4" s="22"/>
      <c r="O4" s="22"/>
      <c r="P4" s="22"/>
      <c r="Q4" s="22"/>
      <c r="R4" s="22"/>
      <c r="S4" s="22"/>
      <c r="T4" s="22"/>
      <c r="U4" s="22"/>
      <c r="V4" s="22"/>
      <c r="W4" s="22"/>
      <c r="X4" s="22"/>
      <c r="Y4" s="22"/>
      <c r="Z4" s="22"/>
    </row>
    <row r="5" spans="1:26">
      <c r="A5" s="1"/>
      <c r="B5" s="29" t="s">
        <v>68</v>
      </c>
      <c r="C5" s="30" t="s">
        <v>72</v>
      </c>
      <c r="D5" s="25" t="s">
        <v>74</v>
      </c>
      <c r="E5" s="32" t="s">
        <v>76</v>
      </c>
      <c r="F5" s="30" t="s">
        <v>77</v>
      </c>
      <c r="G5" s="30" t="s">
        <v>78</v>
      </c>
      <c r="H5" s="46" t="s">
        <v>80</v>
      </c>
      <c r="I5" s="52" t="s">
        <v>103</v>
      </c>
      <c r="J5" s="52" t="s">
        <v>127</v>
      </c>
      <c r="K5" s="16"/>
      <c r="L5" s="16"/>
      <c r="M5" s="16"/>
      <c r="N5" s="16"/>
      <c r="O5" s="16"/>
      <c r="P5" s="16"/>
      <c r="Q5" s="16"/>
      <c r="R5" s="16"/>
      <c r="S5" s="16"/>
      <c r="T5" s="16"/>
      <c r="U5" s="16"/>
      <c r="V5" s="16"/>
      <c r="W5" s="16"/>
      <c r="X5" s="16"/>
      <c r="Y5" s="16"/>
      <c r="Z5" s="16"/>
    </row>
    <row r="6" spans="1:26">
      <c r="A6" s="1"/>
      <c r="B6" s="29" t="s">
        <v>138</v>
      </c>
      <c r="C6" s="30" t="s">
        <v>139</v>
      </c>
      <c r="D6" s="25" t="s">
        <v>140</v>
      </c>
      <c r="E6" s="32" t="s">
        <v>142</v>
      </c>
      <c r="F6" s="30" t="s">
        <v>145</v>
      </c>
      <c r="G6" s="30" t="s">
        <v>148</v>
      </c>
      <c r="H6" s="60" t="s">
        <v>151</v>
      </c>
      <c r="I6" s="52" t="s">
        <v>161</v>
      </c>
      <c r="J6" s="52" t="s">
        <v>177</v>
      </c>
      <c r="K6" s="16"/>
      <c r="L6" s="16"/>
      <c r="M6" s="16"/>
      <c r="N6" s="16"/>
      <c r="O6" s="16"/>
      <c r="P6" s="16"/>
      <c r="Q6" s="16"/>
      <c r="R6" s="16"/>
      <c r="S6" s="16"/>
      <c r="T6" s="16"/>
      <c r="U6" s="16"/>
      <c r="V6" s="16"/>
      <c r="W6" s="16"/>
      <c r="X6" s="16"/>
      <c r="Y6" s="16"/>
      <c r="Z6" s="16"/>
    </row>
    <row r="7" spans="1:26">
      <c r="A7" s="1"/>
      <c r="B7" s="29" t="s">
        <v>183</v>
      </c>
      <c r="C7" s="30" t="s">
        <v>186</v>
      </c>
      <c r="D7" s="25" t="s">
        <v>188</v>
      </c>
      <c r="E7" s="32" t="s">
        <v>190</v>
      </c>
      <c r="F7" s="30" t="s">
        <v>192</v>
      </c>
      <c r="G7" s="30" t="s">
        <v>194</v>
      </c>
      <c r="H7" s="60" t="s">
        <v>196</v>
      </c>
      <c r="I7" s="52" t="s">
        <v>204</v>
      </c>
      <c r="J7" s="60" t="s">
        <v>209</v>
      </c>
      <c r="K7" s="16"/>
      <c r="L7" s="16"/>
      <c r="M7" s="16"/>
      <c r="N7" s="16"/>
      <c r="O7" s="16"/>
      <c r="P7" s="16"/>
      <c r="Q7" s="16"/>
      <c r="R7" s="16"/>
      <c r="S7" s="16"/>
      <c r="T7" s="16"/>
      <c r="U7" s="16"/>
      <c r="V7" s="16"/>
      <c r="W7" s="16"/>
      <c r="X7" s="16"/>
      <c r="Y7" s="16"/>
      <c r="Z7" s="16"/>
    </row>
    <row r="8" spans="1:26">
      <c r="A8" s="1"/>
      <c r="B8" s="29" t="s">
        <v>217</v>
      </c>
      <c r="C8" s="29" t="s">
        <v>219</v>
      </c>
      <c r="D8" s="25" t="s">
        <v>221</v>
      </c>
      <c r="E8" s="32" t="s">
        <v>190</v>
      </c>
      <c r="F8" s="30" t="s">
        <v>226</v>
      </c>
      <c r="G8" s="30" t="s">
        <v>230</v>
      </c>
      <c r="H8" s="50"/>
      <c r="I8" s="52" t="s">
        <v>234</v>
      </c>
      <c r="J8" s="50"/>
      <c r="K8" s="16"/>
      <c r="L8" s="16"/>
      <c r="M8" s="16"/>
      <c r="N8" s="16"/>
      <c r="O8" s="16"/>
      <c r="P8" s="16"/>
      <c r="Q8" s="16"/>
      <c r="R8" s="16"/>
      <c r="S8" s="16"/>
      <c r="T8" s="16"/>
      <c r="U8" s="16"/>
      <c r="V8" s="16"/>
      <c r="W8" s="16"/>
      <c r="X8" s="16"/>
      <c r="Y8" s="16"/>
      <c r="Z8" s="16"/>
    </row>
    <row r="9" spans="1:26">
      <c r="A9" s="1"/>
      <c r="B9" s="16"/>
      <c r="C9" s="16"/>
      <c r="D9" s="17"/>
      <c r="E9" s="17"/>
      <c r="F9" s="16"/>
      <c r="G9" s="16"/>
      <c r="H9" s="16"/>
      <c r="I9" s="16"/>
      <c r="J9" s="16"/>
      <c r="K9" s="16"/>
      <c r="L9" s="16"/>
      <c r="M9" s="16"/>
      <c r="N9" s="16"/>
      <c r="O9" s="16"/>
      <c r="P9" s="16"/>
      <c r="Q9" s="16"/>
      <c r="R9" s="16"/>
      <c r="S9" s="16"/>
      <c r="T9" s="16"/>
      <c r="U9" s="16"/>
      <c r="V9" s="16"/>
      <c r="W9" s="16"/>
      <c r="X9" s="16"/>
      <c r="Y9" s="16"/>
      <c r="Z9" s="16"/>
    </row>
    <row r="10" spans="1:26">
      <c r="A10" s="1"/>
      <c r="B10" s="16"/>
      <c r="C10" s="16"/>
      <c r="D10" s="17"/>
      <c r="E10" s="17"/>
      <c r="F10" s="16"/>
      <c r="G10" s="16"/>
      <c r="H10" s="16"/>
      <c r="I10" s="16"/>
      <c r="J10" s="16"/>
      <c r="K10" s="16"/>
      <c r="L10" s="16"/>
      <c r="M10" s="16"/>
      <c r="N10" s="16"/>
      <c r="O10" s="16"/>
      <c r="P10" s="16"/>
      <c r="Q10" s="16"/>
      <c r="R10" s="16"/>
      <c r="S10" s="16"/>
      <c r="T10" s="16"/>
      <c r="U10" s="16"/>
      <c r="V10" s="16"/>
      <c r="W10" s="16"/>
      <c r="X10" s="16"/>
      <c r="Y10" s="16"/>
      <c r="Z10" s="16"/>
    </row>
    <row r="11" spans="1:26">
      <c r="A11" s="1"/>
      <c r="B11" s="16"/>
      <c r="C11" s="16"/>
      <c r="D11" s="17"/>
      <c r="E11" s="17"/>
      <c r="F11" s="16"/>
      <c r="G11" s="16"/>
      <c r="H11" s="16"/>
      <c r="I11" s="16"/>
      <c r="J11" s="16"/>
      <c r="K11" s="16"/>
      <c r="L11" s="16"/>
      <c r="M11" s="16"/>
      <c r="N11" s="16"/>
      <c r="O11" s="16"/>
      <c r="P11" s="16"/>
      <c r="Q11" s="16"/>
      <c r="R11" s="16"/>
      <c r="S11" s="16"/>
      <c r="T11" s="16"/>
      <c r="U11" s="16"/>
      <c r="V11" s="16"/>
      <c r="W11" s="16"/>
      <c r="X11" s="16"/>
      <c r="Y11" s="16"/>
      <c r="Z11" s="16"/>
    </row>
    <row r="12" spans="1:26">
      <c r="A12" s="1"/>
      <c r="B12" s="16"/>
      <c r="C12" s="16"/>
      <c r="D12" s="17"/>
      <c r="E12" s="17"/>
      <c r="F12" s="16"/>
      <c r="G12" s="16"/>
      <c r="H12" s="16"/>
      <c r="I12" s="16"/>
      <c r="J12" s="16"/>
      <c r="K12" s="16"/>
      <c r="L12" s="16"/>
      <c r="M12" s="16"/>
      <c r="N12" s="16"/>
      <c r="O12" s="16"/>
      <c r="P12" s="16"/>
      <c r="Q12" s="16"/>
      <c r="R12" s="16"/>
      <c r="S12" s="16"/>
      <c r="T12" s="16"/>
      <c r="U12" s="16"/>
      <c r="V12" s="16"/>
      <c r="W12" s="16"/>
      <c r="X12" s="16"/>
      <c r="Y12" s="16"/>
      <c r="Z12" s="16"/>
    </row>
    <row r="13" spans="1:26">
      <c r="A13" s="1"/>
      <c r="B13" s="16"/>
      <c r="C13" s="16"/>
      <c r="D13" s="17"/>
      <c r="E13" s="17"/>
      <c r="F13" s="16"/>
      <c r="G13" s="16"/>
      <c r="H13" s="16"/>
      <c r="I13" s="16"/>
      <c r="J13" s="16"/>
      <c r="K13" s="16"/>
      <c r="L13" s="16"/>
      <c r="M13" s="16"/>
      <c r="N13" s="16"/>
      <c r="O13" s="16"/>
      <c r="P13" s="16"/>
      <c r="Q13" s="16"/>
      <c r="R13" s="16"/>
      <c r="S13" s="16"/>
      <c r="T13" s="16"/>
      <c r="U13" s="16"/>
      <c r="V13" s="16"/>
      <c r="W13" s="16"/>
      <c r="X13" s="16"/>
      <c r="Y13" s="16"/>
      <c r="Z13" s="16"/>
    </row>
    <row r="14" spans="1:26">
      <c r="A14" s="1"/>
      <c r="B14" s="16"/>
      <c r="C14" s="16"/>
      <c r="D14" s="17"/>
      <c r="E14" s="17"/>
      <c r="F14" s="16"/>
      <c r="G14" s="16"/>
      <c r="H14" s="16"/>
      <c r="I14" s="16"/>
      <c r="J14" s="16"/>
      <c r="K14" s="16"/>
      <c r="L14" s="16"/>
      <c r="M14" s="16"/>
      <c r="N14" s="16"/>
      <c r="O14" s="16"/>
      <c r="P14" s="16"/>
      <c r="Q14" s="16"/>
      <c r="R14" s="16"/>
      <c r="S14" s="16"/>
      <c r="T14" s="16"/>
      <c r="U14" s="16"/>
      <c r="V14" s="16"/>
      <c r="W14" s="16"/>
      <c r="X14" s="16"/>
      <c r="Y14" s="16"/>
      <c r="Z14" s="16"/>
    </row>
    <row r="15" spans="1:26">
      <c r="A15" s="1"/>
      <c r="B15" s="16"/>
      <c r="C15" s="16"/>
      <c r="D15" s="17"/>
      <c r="E15" s="17"/>
      <c r="F15" s="16"/>
      <c r="G15" s="16"/>
      <c r="H15" s="16"/>
      <c r="I15" s="16"/>
      <c r="J15" s="16"/>
      <c r="K15" s="16"/>
      <c r="L15" s="16"/>
      <c r="M15" s="16"/>
      <c r="N15" s="16"/>
      <c r="O15" s="16"/>
      <c r="P15" s="16"/>
      <c r="Q15" s="16"/>
      <c r="R15" s="16"/>
      <c r="S15" s="16"/>
      <c r="T15" s="16"/>
      <c r="U15" s="16"/>
      <c r="V15" s="16"/>
      <c r="W15" s="16"/>
      <c r="X15" s="16"/>
      <c r="Y15" s="16"/>
      <c r="Z15" s="16"/>
    </row>
    <row r="16" spans="1:26">
      <c r="A16" s="1"/>
      <c r="B16" s="16"/>
      <c r="C16" s="16"/>
      <c r="D16" s="17"/>
      <c r="E16" s="17"/>
      <c r="F16" s="16"/>
      <c r="G16" s="16"/>
      <c r="H16" s="16"/>
      <c r="I16" s="16"/>
      <c r="J16" s="16"/>
      <c r="K16" s="16"/>
      <c r="L16" s="16"/>
      <c r="M16" s="16"/>
      <c r="N16" s="16"/>
      <c r="O16" s="16"/>
      <c r="P16" s="16"/>
      <c r="Q16" s="16"/>
      <c r="R16" s="16"/>
      <c r="S16" s="16"/>
      <c r="T16" s="16"/>
      <c r="U16" s="16"/>
      <c r="V16" s="16"/>
      <c r="W16" s="16"/>
      <c r="X16" s="16"/>
      <c r="Y16" s="16"/>
      <c r="Z16" s="16"/>
    </row>
    <row r="17" spans="1:26">
      <c r="A17" s="1"/>
      <c r="B17" s="16"/>
      <c r="C17" s="16"/>
      <c r="D17" s="17"/>
      <c r="E17" s="17"/>
      <c r="F17" s="16"/>
      <c r="G17" s="16"/>
      <c r="H17" s="16"/>
      <c r="I17" s="16"/>
      <c r="J17" s="16"/>
      <c r="K17" s="16"/>
      <c r="L17" s="16"/>
      <c r="M17" s="16"/>
      <c r="N17" s="16"/>
      <c r="O17" s="16"/>
      <c r="P17" s="16"/>
      <c r="Q17" s="16"/>
      <c r="R17" s="16"/>
      <c r="S17" s="16"/>
      <c r="T17" s="16"/>
      <c r="U17" s="16"/>
      <c r="V17" s="16"/>
      <c r="W17" s="16"/>
      <c r="X17" s="16"/>
      <c r="Y17" s="16"/>
      <c r="Z17" s="16"/>
    </row>
    <row r="18" spans="1:26">
      <c r="A18" s="1"/>
      <c r="B18" s="16"/>
      <c r="C18" s="16"/>
      <c r="D18" s="17"/>
      <c r="E18" s="17"/>
      <c r="F18" s="16"/>
      <c r="G18" s="16"/>
      <c r="H18" s="16"/>
      <c r="I18" s="16"/>
      <c r="J18" s="16"/>
      <c r="K18" s="16"/>
      <c r="L18" s="16"/>
      <c r="M18" s="16"/>
      <c r="N18" s="16"/>
      <c r="O18" s="16"/>
      <c r="P18" s="16"/>
      <c r="Q18" s="16"/>
      <c r="R18" s="16"/>
      <c r="S18" s="16"/>
      <c r="T18" s="16"/>
      <c r="U18" s="16"/>
      <c r="V18" s="16"/>
      <c r="W18" s="16"/>
      <c r="X18" s="16"/>
      <c r="Y18" s="16"/>
      <c r="Z18" s="16"/>
    </row>
  </sheetData>
  <hyperlinks>
    <hyperlink ref="H5" r:id="rId1" xr:uid="{00000000-0004-0000-0300-000000000000}"/>
    <hyperlink ref="I5" r:id="rId2" xr:uid="{00000000-0004-0000-0300-000001000000}"/>
    <hyperlink ref="J5" r:id="rId3" xr:uid="{00000000-0004-0000-0300-000002000000}"/>
    <hyperlink ref="H6" r:id="rId4" xr:uid="{00000000-0004-0000-0300-000003000000}"/>
    <hyperlink ref="I6" r:id="rId5" xr:uid="{00000000-0004-0000-0300-000004000000}"/>
    <hyperlink ref="J6" r:id="rId6" xr:uid="{00000000-0004-0000-0300-000005000000}"/>
    <hyperlink ref="H7" r:id="rId7" xr:uid="{00000000-0004-0000-0300-000006000000}"/>
    <hyperlink ref="I7" r:id="rId8" xr:uid="{00000000-0004-0000-0300-000007000000}"/>
    <hyperlink ref="J7" r:id="rId9" xr:uid="{00000000-0004-0000-0300-000008000000}"/>
    <hyperlink ref="I8" r:id="rId10" xr:uid="{00000000-0004-0000-0300-00000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61"/>
  <sheetViews>
    <sheetView workbookViewId="0"/>
  </sheetViews>
  <sheetFormatPr defaultColWidth="12.6640625" defaultRowHeight="15.75" customHeight="1"/>
  <cols>
    <col min="1" max="1" width="2.77734375" customWidth="1"/>
    <col min="2" max="2" width="15.88671875" customWidth="1"/>
    <col min="3" max="3" width="20.109375" customWidth="1"/>
    <col min="4" max="4" width="62.77734375" customWidth="1"/>
    <col min="5" max="5" width="42.88671875" customWidth="1"/>
    <col min="6" max="6" width="40.6640625" customWidth="1"/>
    <col min="7" max="7" width="9" customWidth="1"/>
  </cols>
  <sheetData>
    <row r="1" spans="1:7">
      <c r="A1" s="1"/>
      <c r="B1" s="39"/>
      <c r="C1" s="39"/>
      <c r="D1" s="39"/>
      <c r="E1" s="39"/>
      <c r="F1" s="39"/>
      <c r="G1" s="39"/>
    </row>
    <row r="2" spans="1:7">
      <c r="B2" s="42" t="s">
        <v>90</v>
      </c>
      <c r="C2" s="44"/>
      <c r="D2" s="44"/>
      <c r="E2" s="44"/>
      <c r="F2" s="44"/>
      <c r="G2" s="44"/>
    </row>
    <row r="3" spans="1:7">
      <c r="A3" s="7"/>
      <c r="B3" s="47"/>
      <c r="C3" s="47"/>
      <c r="D3" s="47"/>
      <c r="E3" s="47"/>
      <c r="F3" s="47"/>
      <c r="G3" s="48"/>
    </row>
    <row r="4" spans="1:7">
      <c r="A4" s="7"/>
      <c r="B4" s="49" t="s">
        <v>95</v>
      </c>
      <c r="C4" s="49" t="s">
        <v>96</v>
      </c>
      <c r="D4" s="49" t="s">
        <v>97</v>
      </c>
      <c r="E4" s="49" t="s">
        <v>98</v>
      </c>
      <c r="F4" s="49" t="s">
        <v>99</v>
      </c>
      <c r="G4" s="48"/>
    </row>
    <row r="5" spans="1:7">
      <c r="A5" s="7"/>
      <c r="B5" s="25" t="s">
        <v>100</v>
      </c>
      <c r="C5" s="29" t="s">
        <v>101</v>
      </c>
      <c r="D5" s="30" t="s">
        <v>104</v>
      </c>
      <c r="E5" s="50"/>
      <c r="F5" s="50" t="s">
        <v>107</v>
      </c>
      <c r="G5" s="16"/>
    </row>
    <row r="6" spans="1:7">
      <c r="A6" s="1"/>
      <c r="B6" s="25" t="s">
        <v>100</v>
      </c>
      <c r="C6" s="29" t="s">
        <v>111</v>
      </c>
      <c r="D6" s="30" t="s">
        <v>104</v>
      </c>
      <c r="E6" s="50"/>
      <c r="F6" s="50" t="s">
        <v>112</v>
      </c>
      <c r="G6" s="16"/>
    </row>
    <row r="7" spans="1:7">
      <c r="A7" s="1"/>
      <c r="B7" s="25" t="s">
        <v>100</v>
      </c>
      <c r="C7" s="29" t="s">
        <v>113</v>
      </c>
      <c r="D7" s="30" t="s">
        <v>114</v>
      </c>
      <c r="E7" s="30"/>
      <c r="F7" s="30" t="s">
        <v>116</v>
      </c>
      <c r="G7" s="16"/>
    </row>
    <row r="8" spans="1:7">
      <c r="A8" s="1"/>
      <c r="B8" s="25" t="s">
        <v>100</v>
      </c>
      <c r="C8" s="29" t="s">
        <v>117</v>
      </c>
      <c r="D8" s="30" t="s">
        <v>118</v>
      </c>
      <c r="E8" s="30"/>
      <c r="F8" s="30" t="s">
        <v>119</v>
      </c>
      <c r="G8" s="16"/>
    </row>
    <row r="9" spans="1:7">
      <c r="A9" s="1"/>
      <c r="B9" s="25" t="s">
        <v>120</v>
      </c>
      <c r="C9" s="29" t="s">
        <v>111</v>
      </c>
      <c r="D9" s="30" t="s">
        <v>121</v>
      </c>
      <c r="E9" s="30"/>
      <c r="F9" s="30" t="s">
        <v>122</v>
      </c>
      <c r="G9" s="16"/>
    </row>
    <row r="10" spans="1:7">
      <c r="A10" s="1"/>
      <c r="B10" s="25" t="s">
        <v>120</v>
      </c>
      <c r="C10" s="29" t="s">
        <v>123</v>
      </c>
      <c r="D10" s="30" t="s">
        <v>124</v>
      </c>
      <c r="E10" s="54" t="s">
        <v>125</v>
      </c>
      <c r="F10" s="30"/>
      <c r="G10" s="16"/>
    </row>
    <row r="11" spans="1:7">
      <c r="A11" s="1"/>
      <c r="B11" s="25" t="s">
        <v>120</v>
      </c>
      <c r="C11" s="29" t="s">
        <v>134</v>
      </c>
      <c r="D11" s="30" t="s">
        <v>135</v>
      </c>
      <c r="E11" s="56" t="s">
        <v>136</v>
      </c>
      <c r="F11" s="30"/>
      <c r="G11" s="16"/>
    </row>
    <row r="12" spans="1:7">
      <c r="A12" s="1"/>
      <c r="B12" s="25" t="s">
        <v>120</v>
      </c>
      <c r="C12" s="29" t="s">
        <v>152</v>
      </c>
      <c r="D12" s="30" t="s">
        <v>153</v>
      </c>
      <c r="E12" s="56" t="s">
        <v>154</v>
      </c>
      <c r="F12" s="30" t="s">
        <v>162</v>
      </c>
      <c r="G12" s="16"/>
    </row>
    <row r="13" spans="1:7">
      <c r="A13" s="1"/>
      <c r="B13" s="25" t="s">
        <v>120</v>
      </c>
      <c r="C13" s="62" t="s">
        <v>164</v>
      </c>
      <c r="D13" s="63" t="s">
        <v>170</v>
      </c>
      <c r="E13" s="56" t="s">
        <v>174</v>
      </c>
      <c r="F13" s="30"/>
      <c r="G13" s="16"/>
    </row>
    <row r="14" spans="1:7">
      <c r="A14" s="1"/>
      <c r="B14" s="25" t="s">
        <v>120</v>
      </c>
      <c r="C14" s="62" t="s">
        <v>178</v>
      </c>
      <c r="D14" s="50" t="s">
        <v>179</v>
      </c>
      <c r="E14" s="30"/>
      <c r="F14" s="63" t="s">
        <v>180</v>
      </c>
      <c r="G14" s="16"/>
    </row>
    <row r="15" spans="1:7">
      <c r="A15" s="1"/>
      <c r="B15" s="25" t="s">
        <v>120</v>
      </c>
      <c r="C15" s="62" t="s">
        <v>181</v>
      </c>
      <c r="D15" s="50" t="s">
        <v>182</v>
      </c>
      <c r="E15" s="30"/>
      <c r="F15" s="30"/>
      <c r="G15" s="16"/>
    </row>
    <row r="16" spans="1:7">
      <c r="A16" s="1"/>
      <c r="B16" s="25" t="s">
        <v>184</v>
      </c>
      <c r="C16" s="29"/>
      <c r="D16" s="30" t="s">
        <v>187</v>
      </c>
      <c r="E16" s="30"/>
      <c r="F16" s="30" t="s">
        <v>189</v>
      </c>
      <c r="G16" s="16"/>
    </row>
    <row r="17" spans="1:7">
      <c r="A17" s="1"/>
      <c r="B17" s="25" t="s">
        <v>184</v>
      </c>
      <c r="C17" s="62" t="s">
        <v>191</v>
      </c>
      <c r="D17" s="50" t="s">
        <v>193</v>
      </c>
      <c r="E17" s="30" t="s">
        <v>195</v>
      </c>
      <c r="F17" s="30" t="s">
        <v>189</v>
      </c>
      <c r="G17" s="16"/>
    </row>
    <row r="18" spans="1:7">
      <c r="A18" s="1"/>
      <c r="B18" s="25" t="s">
        <v>184</v>
      </c>
      <c r="C18" s="62" t="s">
        <v>197</v>
      </c>
      <c r="D18" s="50" t="s">
        <v>198</v>
      </c>
      <c r="E18" s="52" t="s">
        <v>199</v>
      </c>
      <c r="F18" s="30" t="s">
        <v>189</v>
      </c>
      <c r="G18" s="16"/>
    </row>
    <row r="19" spans="1:7">
      <c r="A19" s="1"/>
      <c r="B19" s="25" t="s">
        <v>184</v>
      </c>
      <c r="C19" s="62" t="s">
        <v>201</v>
      </c>
      <c r="D19" s="50" t="s">
        <v>202</v>
      </c>
      <c r="E19" s="63" t="s">
        <v>203</v>
      </c>
      <c r="F19" s="30" t="s">
        <v>189</v>
      </c>
      <c r="G19" s="16"/>
    </row>
    <row r="20" spans="1:7">
      <c r="A20" s="1"/>
      <c r="B20" s="25" t="s">
        <v>184</v>
      </c>
      <c r="C20" s="62" t="s">
        <v>205</v>
      </c>
      <c r="D20" s="50" t="s">
        <v>206</v>
      </c>
      <c r="E20" s="63" t="s">
        <v>207</v>
      </c>
      <c r="F20" s="30" t="s">
        <v>189</v>
      </c>
      <c r="G20" s="16"/>
    </row>
    <row r="21" spans="1:7">
      <c r="A21" s="1"/>
      <c r="B21" s="25" t="s">
        <v>184</v>
      </c>
      <c r="C21" s="62" t="s">
        <v>208</v>
      </c>
      <c r="D21" s="36" t="s">
        <v>210</v>
      </c>
      <c r="E21" s="30" t="s">
        <v>211</v>
      </c>
      <c r="F21" s="30" t="s">
        <v>212</v>
      </c>
      <c r="G21" s="16"/>
    </row>
    <row r="22" spans="1:7">
      <c r="A22" s="1"/>
      <c r="B22" s="25" t="s">
        <v>184</v>
      </c>
      <c r="C22" s="62" t="s">
        <v>213</v>
      </c>
      <c r="D22" s="70" t="s">
        <v>214</v>
      </c>
      <c r="E22" s="30"/>
      <c r="F22" s="30" t="s">
        <v>237</v>
      </c>
      <c r="G22" s="16"/>
    </row>
    <row r="23" spans="1:7">
      <c r="A23" s="1"/>
      <c r="B23" s="25" t="s">
        <v>239</v>
      </c>
      <c r="C23" s="62" t="s">
        <v>240</v>
      </c>
      <c r="D23" s="50" t="s">
        <v>241</v>
      </c>
      <c r="E23" s="30" t="s">
        <v>242</v>
      </c>
      <c r="F23" s="30" t="s">
        <v>243</v>
      </c>
      <c r="G23" s="16"/>
    </row>
    <row r="24" spans="1:7">
      <c r="A24" s="1"/>
      <c r="B24" s="25" t="s">
        <v>239</v>
      </c>
      <c r="C24" s="62" t="s">
        <v>244</v>
      </c>
      <c r="D24" s="50" t="s">
        <v>245</v>
      </c>
      <c r="E24" s="30"/>
      <c r="F24" s="30" t="s">
        <v>246</v>
      </c>
      <c r="G24" s="16"/>
    </row>
    <row r="25" spans="1:7">
      <c r="A25" s="1"/>
      <c r="B25" s="25" t="s">
        <v>247</v>
      </c>
      <c r="C25" s="62" t="s">
        <v>248</v>
      </c>
      <c r="D25" s="50" t="s">
        <v>249</v>
      </c>
      <c r="E25" s="30"/>
      <c r="F25" s="63" t="s">
        <v>250</v>
      </c>
      <c r="G25" s="16"/>
    </row>
    <row r="26" spans="1:7">
      <c r="A26" s="1"/>
      <c r="B26" s="25" t="s">
        <v>184</v>
      </c>
      <c r="C26" s="29" t="s">
        <v>251</v>
      </c>
      <c r="D26" s="30" t="s">
        <v>252</v>
      </c>
      <c r="E26" s="30"/>
      <c r="F26" s="30" t="s">
        <v>253</v>
      </c>
      <c r="G26" s="16"/>
    </row>
    <row r="27" spans="1:7">
      <c r="A27" s="1"/>
      <c r="B27" s="25" t="s">
        <v>184</v>
      </c>
      <c r="C27" s="29" t="s">
        <v>254</v>
      </c>
      <c r="D27" s="30" t="s">
        <v>255</v>
      </c>
      <c r="E27" s="30"/>
      <c r="F27" s="30" t="s">
        <v>189</v>
      </c>
      <c r="G27" s="16"/>
    </row>
    <row r="28" spans="1:7">
      <c r="A28" s="1"/>
      <c r="B28" s="25" t="s">
        <v>184</v>
      </c>
      <c r="C28" s="29" t="s">
        <v>257</v>
      </c>
      <c r="D28" s="30" t="s">
        <v>258</v>
      </c>
      <c r="E28" s="30"/>
      <c r="F28" s="30" t="s">
        <v>259</v>
      </c>
      <c r="G28" s="16"/>
    </row>
    <row r="29" spans="1:7">
      <c r="A29" s="1"/>
      <c r="B29" s="25" t="s">
        <v>184</v>
      </c>
      <c r="C29" s="29" t="s">
        <v>260</v>
      </c>
      <c r="D29" s="30" t="s">
        <v>261</v>
      </c>
      <c r="E29" s="60" t="s">
        <v>262</v>
      </c>
      <c r="F29" s="30" t="s">
        <v>264</v>
      </c>
      <c r="G29" s="16"/>
    </row>
    <row r="30" spans="1:7">
      <c r="A30" s="1"/>
      <c r="B30" s="25" t="s">
        <v>184</v>
      </c>
      <c r="C30" s="29" t="s">
        <v>265</v>
      </c>
      <c r="D30" s="30" t="s">
        <v>266</v>
      </c>
      <c r="E30" s="30"/>
      <c r="F30" s="30" t="s">
        <v>267</v>
      </c>
      <c r="G30" s="16"/>
    </row>
    <row r="31" spans="1:7">
      <c r="A31" s="16"/>
      <c r="B31" s="25" t="s">
        <v>184</v>
      </c>
      <c r="C31" s="29" t="s">
        <v>268</v>
      </c>
      <c r="D31" s="30" t="s">
        <v>269</v>
      </c>
      <c r="E31" s="30"/>
      <c r="F31" s="30" t="s">
        <v>270</v>
      </c>
      <c r="G31" s="16"/>
    </row>
    <row r="32" spans="1:7">
      <c r="A32" s="1"/>
      <c r="B32" s="25" t="s">
        <v>239</v>
      </c>
      <c r="C32" s="29" t="s">
        <v>271</v>
      </c>
      <c r="D32" s="30" t="s">
        <v>272</v>
      </c>
      <c r="E32" s="30" t="s">
        <v>242</v>
      </c>
      <c r="F32" s="30" t="s">
        <v>243</v>
      </c>
      <c r="G32" s="16"/>
    </row>
    <row r="33" spans="1:7">
      <c r="A33" s="16"/>
      <c r="B33" s="25" t="s">
        <v>239</v>
      </c>
      <c r="C33" s="29" t="s">
        <v>273</v>
      </c>
      <c r="D33" s="30" t="s">
        <v>274</v>
      </c>
      <c r="E33" s="30"/>
      <c r="F33" s="29" t="s">
        <v>275</v>
      </c>
      <c r="G33" s="16"/>
    </row>
    <row r="34" spans="1:7">
      <c r="A34" s="16"/>
      <c r="B34" s="25" t="s">
        <v>239</v>
      </c>
      <c r="C34" s="29" t="s">
        <v>276</v>
      </c>
      <c r="D34" s="30" t="s">
        <v>277</v>
      </c>
      <c r="E34" s="30"/>
      <c r="F34" s="30" t="s">
        <v>278</v>
      </c>
      <c r="G34" s="16"/>
    </row>
    <row r="35" spans="1:7">
      <c r="A35" s="16"/>
      <c r="B35" s="25" t="s">
        <v>239</v>
      </c>
      <c r="C35" s="62" t="s">
        <v>279</v>
      </c>
      <c r="D35" s="50" t="s">
        <v>280</v>
      </c>
      <c r="E35" s="60" t="s">
        <v>281</v>
      </c>
      <c r="F35" s="50" t="s">
        <v>284</v>
      </c>
      <c r="G35" s="16"/>
    </row>
    <row r="36" spans="1:7">
      <c r="A36" s="16"/>
      <c r="B36" s="25" t="s">
        <v>239</v>
      </c>
      <c r="C36" s="62" t="s">
        <v>285</v>
      </c>
      <c r="D36" s="50" t="s">
        <v>286</v>
      </c>
      <c r="E36" s="50"/>
      <c r="F36" s="50"/>
      <c r="G36" s="16"/>
    </row>
    <row r="37" spans="1:7">
      <c r="A37" s="16"/>
      <c r="B37" s="25"/>
      <c r="C37" s="62"/>
      <c r="D37" s="50"/>
      <c r="E37" s="50"/>
      <c r="F37" s="50"/>
      <c r="G37" s="16"/>
    </row>
    <row r="38" spans="1:7">
      <c r="A38" s="39"/>
      <c r="B38" s="73"/>
      <c r="C38" s="74"/>
      <c r="D38" s="74"/>
      <c r="E38" s="74"/>
      <c r="F38" s="74"/>
      <c r="G38" s="39"/>
    </row>
    <row r="39" spans="1:7">
      <c r="A39" s="44"/>
      <c r="B39" s="75" t="s">
        <v>290</v>
      </c>
      <c r="C39" s="76"/>
      <c r="D39" s="76"/>
      <c r="E39" s="76"/>
      <c r="F39" s="76"/>
      <c r="G39" s="44"/>
    </row>
    <row r="40" spans="1:7" ht="15.75" customHeight="1">
      <c r="A40" s="39"/>
      <c r="B40" s="77" t="s">
        <v>292</v>
      </c>
      <c r="C40" s="74"/>
      <c r="D40" s="74"/>
      <c r="E40" s="74"/>
      <c r="F40" s="74"/>
      <c r="G40" s="39"/>
    </row>
    <row r="41" spans="1:7" ht="15.75" customHeight="1">
      <c r="A41" s="39"/>
      <c r="B41" s="77" t="s">
        <v>293</v>
      </c>
      <c r="C41" s="74"/>
      <c r="D41" s="74"/>
      <c r="E41" s="74"/>
      <c r="F41" s="74"/>
      <c r="G41" s="39"/>
    </row>
    <row r="42" spans="1:7" ht="15.75" customHeight="1">
      <c r="A42" s="39"/>
      <c r="B42" s="77" t="s">
        <v>294</v>
      </c>
      <c r="C42" s="74"/>
      <c r="D42" s="74"/>
      <c r="E42" s="74"/>
      <c r="F42" s="74"/>
      <c r="G42" s="39"/>
    </row>
    <row r="43" spans="1:7" ht="15.75" customHeight="1">
      <c r="A43" s="39"/>
      <c r="B43" s="78" t="s">
        <v>296</v>
      </c>
      <c r="C43" s="74"/>
      <c r="D43" s="74"/>
      <c r="E43" s="74"/>
      <c r="F43" s="74"/>
      <c r="G43" s="39"/>
    </row>
    <row r="44" spans="1:7" ht="15.75" customHeight="1">
      <c r="A44" s="39"/>
      <c r="B44" s="78" t="s">
        <v>297</v>
      </c>
      <c r="C44" s="74"/>
      <c r="D44" s="74"/>
      <c r="E44" s="74"/>
      <c r="F44" s="74"/>
      <c r="G44" s="39"/>
    </row>
    <row r="45" spans="1:7" ht="15.75" customHeight="1">
      <c r="A45" s="39"/>
      <c r="B45" s="78" t="s">
        <v>298</v>
      </c>
      <c r="C45" s="74"/>
      <c r="D45" s="74"/>
      <c r="E45" s="74"/>
      <c r="F45" s="74"/>
      <c r="G45" s="39"/>
    </row>
    <row r="46" spans="1:7" ht="15.75" customHeight="1">
      <c r="A46" s="39"/>
      <c r="B46" s="78" t="s">
        <v>299</v>
      </c>
      <c r="C46" s="74"/>
      <c r="D46" s="74"/>
      <c r="E46" s="74"/>
      <c r="F46" s="74"/>
      <c r="G46" s="39"/>
    </row>
    <row r="47" spans="1:7" ht="15.75" customHeight="1">
      <c r="A47" s="39"/>
      <c r="B47" s="77" t="s">
        <v>301</v>
      </c>
      <c r="C47" s="74"/>
      <c r="D47" s="74"/>
      <c r="E47" s="74"/>
      <c r="F47" s="74"/>
      <c r="G47" s="39"/>
    </row>
    <row r="48" spans="1:7" ht="15.75" customHeight="1">
      <c r="A48" s="39"/>
      <c r="B48" s="77" t="s">
        <v>304</v>
      </c>
      <c r="C48" s="74"/>
      <c r="D48" s="74"/>
      <c r="E48" s="74"/>
      <c r="F48" s="74"/>
      <c r="G48" s="39"/>
    </row>
    <row r="49" spans="1:7">
      <c r="A49" s="44"/>
      <c r="B49" s="82"/>
      <c r="C49" s="76"/>
      <c r="D49" s="76"/>
      <c r="E49" s="76"/>
      <c r="F49" s="76"/>
      <c r="G49" s="44"/>
    </row>
    <row r="50" spans="1:7">
      <c r="A50" s="44"/>
      <c r="B50" s="82" t="s">
        <v>311</v>
      </c>
      <c r="C50" s="76"/>
      <c r="D50" s="76"/>
      <c r="E50" s="76"/>
      <c r="F50" s="76"/>
      <c r="G50" s="44"/>
    </row>
    <row r="51" spans="1:7">
      <c r="A51" s="44"/>
      <c r="B51" s="9" t="s">
        <v>315</v>
      </c>
      <c r="C51" s="76"/>
      <c r="D51" s="76"/>
      <c r="E51" s="76"/>
      <c r="F51" s="76"/>
      <c r="G51" s="44"/>
    </row>
    <row r="52" spans="1:7">
      <c r="A52" s="44"/>
      <c r="B52" s="9" t="s">
        <v>316</v>
      </c>
      <c r="C52" s="76"/>
      <c r="D52" s="76"/>
      <c r="E52" s="76"/>
      <c r="F52" s="76"/>
      <c r="G52" s="44"/>
    </row>
    <row r="53" spans="1:7">
      <c r="A53" s="39"/>
      <c r="B53" s="9" t="s">
        <v>317</v>
      </c>
      <c r="C53" s="74"/>
      <c r="D53" s="74"/>
      <c r="E53" s="74"/>
      <c r="F53" s="74"/>
      <c r="G53" s="39"/>
    </row>
    <row r="54" spans="1:7">
      <c r="A54" s="39"/>
      <c r="B54" s="83"/>
      <c r="C54" s="39"/>
      <c r="D54" s="39"/>
      <c r="E54" s="39"/>
      <c r="F54" s="39"/>
      <c r="G54" s="39"/>
    </row>
    <row r="55" spans="1:7">
      <c r="A55" s="39"/>
      <c r="B55" s="84" t="s">
        <v>318</v>
      </c>
      <c r="C55" s="39"/>
      <c r="D55" s="39"/>
      <c r="E55" s="39"/>
      <c r="F55" s="39"/>
      <c r="G55" s="39"/>
    </row>
    <row r="56" spans="1:7">
      <c r="A56" s="39"/>
      <c r="B56" s="85" t="s">
        <v>319</v>
      </c>
      <c r="C56" s="39"/>
      <c r="D56" s="39"/>
      <c r="E56" s="39"/>
      <c r="F56" s="39"/>
      <c r="G56" s="39"/>
    </row>
    <row r="57" spans="1:7">
      <c r="A57" s="39"/>
      <c r="B57" s="85" t="s">
        <v>320</v>
      </c>
      <c r="C57" s="39"/>
      <c r="D57" s="39"/>
      <c r="E57" s="39"/>
      <c r="F57" s="39"/>
      <c r="G57" s="39"/>
    </row>
    <row r="58" spans="1:7">
      <c r="A58" s="39"/>
      <c r="B58" s="85" t="s">
        <v>321</v>
      </c>
      <c r="C58" s="39"/>
      <c r="D58" s="39"/>
      <c r="E58" s="39"/>
      <c r="F58" s="39"/>
      <c r="G58" s="39"/>
    </row>
    <row r="59" spans="1:7">
      <c r="A59" s="39"/>
      <c r="B59" s="85" t="s">
        <v>323</v>
      </c>
      <c r="C59" s="39"/>
      <c r="D59" s="39"/>
      <c r="E59" s="39"/>
      <c r="F59" s="39"/>
      <c r="G59" s="39"/>
    </row>
    <row r="60" spans="1:7">
      <c r="A60" s="39"/>
      <c r="B60" s="83"/>
      <c r="C60" s="39"/>
      <c r="D60" s="39"/>
      <c r="E60" s="39"/>
      <c r="F60" s="39"/>
      <c r="G60" s="39"/>
    </row>
    <row r="61" spans="1:7">
      <c r="A61" s="39"/>
      <c r="B61" s="83"/>
      <c r="C61" s="39"/>
      <c r="D61" s="39"/>
      <c r="E61" s="39"/>
      <c r="F61" s="39"/>
      <c r="G61" s="39"/>
    </row>
  </sheetData>
  <hyperlinks>
    <hyperlink ref="E10" r:id="rId1" xr:uid="{00000000-0004-0000-0400-000000000000}"/>
    <hyperlink ref="E11" r:id="rId2" xr:uid="{00000000-0004-0000-0400-000001000000}"/>
    <hyperlink ref="E12" r:id="rId3" xr:uid="{00000000-0004-0000-0400-000002000000}"/>
    <hyperlink ref="E13" r:id="rId4" xr:uid="{00000000-0004-0000-0400-000003000000}"/>
    <hyperlink ref="E18" r:id="rId5" xr:uid="{00000000-0004-0000-0400-000004000000}"/>
    <hyperlink ref="D22" r:id="rId6" xr:uid="{00000000-0004-0000-0400-000005000000}"/>
    <hyperlink ref="E29" r:id="rId7" xr:uid="{00000000-0004-0000-0400-000006000000}"/>
    <hyperlink ref="E35" r:id="rId8" xr:uid="{00000000-0004-0000-0400-00000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6640625" defaultRowHeight="15.75" customHeight="1"/>
  <cols>
    <col min="1" max="1" width="3.33203125" customWidth="1"/>
    <col min="2" max="2" width="5.77734375" customWidth="1"/>
    <col min="4" max="4" width="21" customWidth="1"/>
    <col min="5" max="5" width="15.21875" customWidth="1"/>
  </cols>
  <sheetData>
    <row r="1" spans="1:26">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ht="15.75" customHeight="1">
      <c r="A2" s="66"/>
      <c r="B2" s="67" t="s">
        <v>13</v>
      </c>
      <c r="C2" s="68" t="s">
        <v>215</v>
      </c>
      <c r="D2" s="68" t="s">
        <v>216</v>
      </c>
      <c r="E2" s="68" t="s">
        <v>218</v>
      </c>
      <c r="F2" s="68" t="s">
        <v>95</v>
      </c>
      <c r="G2" s="68" t="s">
        <v>220</v>
      </c>
      <c r="H2" s="68" t="s">
        <v>222</v>
      </c>
      <c r="I2" s="68" t="s">
        <v>223</v>
      </c>
      <c r="J2" s="68" t="s">
        <v>224</v>
      </c>
      <c r="K2" s="68" t="s">
        <v>225</v>
      </c>
      <c r="L2" s="68" t="s">
        <v>227</v>
      </c>
      <c r="M2" s="68" t="s">
        <v>228</v>
      </c>
      <c r="N2" s="66"/>
      <c r="O2" s="66"/>
      <c r="P2" s="66"/>
      <c r="Q2" s="66"/>
      <c r="R2" s="66"/>
      <c r="S2" s="66"/>
      <c r="T2" s="66"/>
      <c r="U2" s="66"/>
      <c r="V2" s="66"/>
      <c r="W2" s="66"/>
      <c r="X2" s="66"/>
      <c r="Y2" s="66"/>
      <c r="Z2" s="66"/>
    </row>
    <row r="3" spans="1:26">
      <c r="A3" s="66"/>
      <c r="B3" s="66"/>
      <c r="C3" s="66" t="s">
        <v>232</v>
      </c>
      <c r="D3" s="66" t="s">
        <v>104</v>
      </c>
      <c r="E3" s="66" t="s">
        <v>104</v>
      </c>
      <c r="F3" s="66"/>
      <c r="G3" s="66"/>
      <c r="H3" s="66"/>
      <c r="I3" s="66"/>
      <c r="J3" s="66"/>
      <c r="K3" s="66"/>
      <c r="L3" s="66"/>
      <c r="M3" s="66"/>
      <c r="N3" s="66"/>
      <c r="O3" s="66"/>
      <c r="P3" s="66"/>
      <c r="Q3" s="66"/>
      <c r="R3" s="66"/>
      <c r="S3" s="66"/>
      <c r="T3" s="66"/>
      <c r="U3" s="66"/>
      <c r="V3" s="66"/>
      <c r="W3" s="66"/>
      <c r="X3" s="66"/>
      <c r="Y3" s="66"/>
      <c r="Z3" s="66"/>
    </row>
    <row r="4" spans="1:26">
      <c r="A4" s="66"/>
      <c r="B4" s="66"/>
      <c r="C4" s="66"/>
      <c r="D4" s="66"/>
      <c r="E4" s="66"/>
      <c r="F4" s="66"/>
      <c r="G4" s="66"/>
      <c r="H4" s="66"/>
      <c r="I4" s="66"/>
      <c r="J4" s="66"/>
      <c r="K4" s="66"/>
      <c r="L4" s="66"/>
      <c r="M4" s="66"/>
      <c r="N4" s="66"/>
      <c r="O4" s="66"/>
      <c r="P4" s="66"/>
      <c r="Q4" s="66"/>
      <c r="R4" s="66"/>
      <c r="S4" s="66"/>
      <c r="T4" s="66"/>
      <c r="U4" s="66"/>
      <c r="V4" s="66"/>
      <c r="W4" s="66"/>
      <c r="X4" s="66"/>
      <c r="Y4" s="66"/>
      <c r="Z4" s="66"/>
    </row>
    <row r="5" spans="1:26">
      <c r="A5" s="66"/>
      <c r="B5" s="66"/>
      <c r="C5" s="66"/>
      <c r="D5" s="66"/>
      <c r="E5" s="66"/>
      <c r="F5" s="66"/>
      <c r="G5" s="66"/>
      <c r="H5" s="66"/>
      <c r="I5" s="66"/>
      <c r="J5" s="66"/>
      <c r="K5" s="66"/>
      <c r="L5" s="66"/>
      <c r="M5" s="66"/>
      <c r="N5" s="66"/>
      <c r="O5" s="66"/>
      <c r="P5" s="66"/>
      <c r="Q5" s="66"/>
      <c r="R5" s="66"/>
      <c r="S5" s="66"/>
      <c r="T5" s="66"/>
      <c r="U5" s="66"/>
      <c r="V5" s="66"/>
      <c r="W5" s="66"/>
      <c r="X5" s="66"/>
      <c r="Y5" s="66"/>
      <c r="Z5" s="66"/>
    </row>
    <row r="6" spans="1:26">
      <c r="A6" s="66"/>
      <c r="B6" s="66"/>
      <c r="C6" s="66"/>
      <c r="D6" s="66"/>
      <c r="E6" s="66"/>
      <c r="F6" s="66"/>
      <c r="G6" s="66"/>
      <c r="H6" s="66"/>
      <c r="I6" s="66"/>
      <c r="J6" s="66"/>
      <c r="K6" s="66"/>
      <c r="L6" s="66"/>
      <c r="M6" s="66"/>
      <c r="N6" s="66"/>
      <c r="O6" s="66"/>
      <c r="P6" s="66"/>
      <c r="Q6" s="66"/>
      <c r="R6" s="66"/>
      <c r="S6" s="66"/>
      <c r="T6" s="66"/>
      <c r="U6" s="66"/>
      <c r="V6" s="66"/>
      <c r="W6" s="66"/>
      <c r="X6" s="66"/>
      <c r="Y6" s="66"/>
      <c r="Z6" s="66"/>
    </row>
    <row r="7" spans="1:26">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c r="A8" s="66"/>
      <c r="B8" s="66"/>
      <c r="C8" s="66"/>
      <c r="D8" s="66"/>
      <c r="E8" s="66"/>
      <c r="F8" s="66"/>
      <c r="G8" s="66"/>
      <c r="H8" s="66"/>
      <c r="I8" s="66"/>
      <c r="J8" s="66"/>
      <c r="K8" s="66"/>
      <c r="L8" s="66"/>
      <c r="M8" s="66"/>
      <c r="N8" s="66"/>
      <c r="O8" s="66"/>
      <c r="P8" s="66"/>
      <c r="Q8" s="66"/>
      <c r="R8" s="66"/>
      <c r="S8" s="66"/>
      <c r="T8" s="66"/>
      <c r="U8" s="66"/>
      <c r="V8" s="66"/>
      <c r="W8" s="66"/>
      <c r="X8" s="66"/>
      <c r="Y8" s="66"/>
      <c r="Z8" s="66"/>
    </row>
    <row r="9" spans="1:26">
      <c r="A9" s="66"/>
      <c r="B9" s="66"/>
      <c r="C9" s="66"/>
      <c r="D9" s="66"/>
      <c r="E9" s="66"/>
      <c r="F9" s="66"/>
      <c r="G9" s="66"/>
      <c r="H9" s="66"/>
      <c r="I9" s="66"/>
      <c r="J9" s="66"/>
      <c r="K9" s="66"/>
      <c r="L9" s="66"/>
      <c r="M9" s="66"/>
      <c r="N9" s="66"/>
      <c r="O9" s="66"/>
      <c r="P9" s="66"/>
      <c r="Q9" s="66"/>
      <c r="R9" s="66"/>
      <c r="S9" s="66"/>
      <c r="T9" s="66"/>
      <c r="U9" s="66"/>
      <c r="V9" s="66"/>
      <c r="W9" s="66"/>
      <c r="X9" s="66"/>
      <c r="Y9" s="66"/>
      <c r="Z9" s="66"/>
    </row>
    <row r="10" spans="1:26">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spans="1:26">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spans="1:26">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spans="1:26">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spans="1:26">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spans="1:26">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spans="1:2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spans="1:26">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spans="1:26">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spans="1:26">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spans="1:26">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spans="1:26">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spans="1:26">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spans="1:26">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spans="1:26">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spans="1:26">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spans="1:26">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spans="1:26">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spans="1:26">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spans="1:26">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spans="1:26">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spans="1:26">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spans="1:26">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spans="1:26">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ht="13.2">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ht="13.2">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ht="13.2">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ht="13.2">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ht="13.2">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13.2">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ht="13.2">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ht="13.2">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ht="13.2">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ht="13.2">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ht="13.2">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ht="13.2">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ht="13.2">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ht="13.2">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ht="13.2">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ht="13.2">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ht="13.2">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ht="13.2">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ht="13.2">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ht="13.2">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ht="13.2">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ht="13.2">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ht="13.2">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ht="13.2">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ht="13.2">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ht="13.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3.2">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3.2">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ht="13.2">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ht="13.2">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ht="13.2">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ht="13.2">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ht="13.2">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ht="13.2">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ht="13.2">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ht="13.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3.2">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3.2">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ht="13.2">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ht="13.2">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ht="13.2">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ht="13.2">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ht="13.2">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ht="13.2">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ht="13.2">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3.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3.2">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ht="13.2">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ht="13.2">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ht="13.2">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ht="13.2">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ht="13.2">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ht="13.2">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ht="13.2">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ht="13.2">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ht="13.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3.2">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3.2">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ht="13.2">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ht="13.2">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ht="13.2">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ht="13.2">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ht="13.2">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ht="13.2">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3.2">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3.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3.2">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3.2">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3.2">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3.2">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3.2">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3.2">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3.2">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3.2">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3.2">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3.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3.2">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3.2">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3.2">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3.2">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3.2">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3.2">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3.2">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3.2">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3.2">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3.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3.2">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3.2">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3.2">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3.2">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3.2">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3.2">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3.2">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3.2">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3.2">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3.2">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3.2">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3.2">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3.2">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3.2">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3.2">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3.2">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3.2">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3.2">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3.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3.2">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3.2">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3.2">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3.2">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3.2">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3.2">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3.2">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3.2">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3.2">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3.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3.2">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3.2">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3.2">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3.2">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3.2">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3.2">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3.2">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3.2">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3.2">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3.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3.2">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3.2">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3.2">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3.2">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3.2">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3.2">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3.2">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3.2">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3.2">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3.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3.2">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3.2">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3.2">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3.2">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3.2">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3.2">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3.2">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3.2">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3.2">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3.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3.2">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3.2">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3.2">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3.2">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3.2">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3.2">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3.2">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3.2">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3.2">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3.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3.2">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3.2">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3.2">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3.2">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3.2">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3.2">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3.2">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3.2">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3.2">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3.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3.2">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3.2">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3.2">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3.2">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3.2">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3.2">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3.2">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3.2">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3.2">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3.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3.2">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3.2">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3.2">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3.2">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3.2">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3.2">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3.2">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3.2">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3.2">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3.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3.2">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3.2">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3.2">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3.2">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3.2">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3.2">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3.2">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3.2">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3.2">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3.2">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3.2">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3.2">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3.2">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3.2">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3.2">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3.2">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3.2">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3.2">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3.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3.2">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3.2">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3.2">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3.2">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3.2">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3.2">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3.2">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3.2">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3.2">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3.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3.2">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3.2">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3.2">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3.2">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3.2">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3.2">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3.2">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3.2">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3.2">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3.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3.2">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3.2">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3.2">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3.2">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3.2">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3.2">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3.2">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3.2">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3.2">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3.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3.2">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3.2">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3.2">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3.2">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3.2">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3.2">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3.2">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3.2">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3.2">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3.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3.2">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3.2">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3.2">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3.2">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3.2">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3.2">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3.2">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3.2">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3.2">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3.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3.2">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3.2">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3.2">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3.2">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3.2">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3.2">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3.2">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3.2">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3.2">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3.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3.2">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3.2">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3.2">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3.2">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3.2">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3.2">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3.2">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3.2">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3.2">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3.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3.2">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3.2">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3.2">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3.2">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3.2">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3.2">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3.2">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3.2">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3.2">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3.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3.2">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3.2">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3.2">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3.2">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3.2">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3.2">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3.2">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3.2">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3.2">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3.2">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3.2">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3.2">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3.2">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3.2">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3.2">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3.2">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3.2">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3.2">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3.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3.2">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3.2">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3.2">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3.2">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3.2">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3.2">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3.2">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3.2">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3.2">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3.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3.2">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3.2">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3.2">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3.2">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3.2">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3.2">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3.2">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3.2">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3.2">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3.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3.2">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3.2">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3.2">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3.2">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3.2">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3.2">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3.2">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3.2">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3.2">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3.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3.2">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3.2">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3.2">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3.2">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3.2">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3.2">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3.2">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3.2">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3.2">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3.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3.2">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3.2">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3.2">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3.2">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3.2">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3.2">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3.2">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3.2">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3.2">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3.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3.2">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3.2">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3.2">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3.2">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3.2">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3.2">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3.2">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3.2">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3.2">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3.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3.2">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3.2">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3.2">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3.2">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3.2">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3.2">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3.2">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3.2">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3.2">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3.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3.2">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3.2">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3.2">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3.2">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3.2">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3.2">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3.2">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3.2">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3.2">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3.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3.2">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3.2">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3.2">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3.2">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3.2">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3.2">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3.2">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3.2">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3.2">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3.2">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3.2">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3.2">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3.2">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3.2">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3.2">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3.2">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3.2">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3.2">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3.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3.2">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3.2">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3.2">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3.2">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3.2">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3.2">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3.2">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3.2">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3.2">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3.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3.2">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3.2">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3.2">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3.2">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3.2">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3.2">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3.2">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3.2">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3.2">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3.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3.2">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3.2">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3.2">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3.2">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3.2">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3.2">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3.2">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3.2">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3.2">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3.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3.2">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3.2">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3.2">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3.2">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3.2">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3.2">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3.2">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3.2">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3.2">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3.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3.2">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3.2">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3.2">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3.2">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3.2">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3.2">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3.2">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3.2">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3.2">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3.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3.2">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3.2">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3.2">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3.2">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3.2">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3.2">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3.2">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3.2">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3.2">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3.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3.2">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3.2">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3.2">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3.2">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3.2">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3.2">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3.2">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3.2">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3.2">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3.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3.2">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3.2">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3.2">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3.2">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3.2">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3.2">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3.2">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3.2">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3.2">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3.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3.2">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3.2">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3.2">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3.2">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3.2">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3.2">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3.2">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3.2">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3.2">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3.2">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3.2">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3.2">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3.2">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3.2">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3.2">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3.2">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3.2">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3.2">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3.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3.2">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3.2">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3.2">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3.2">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3.2">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3.2">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3.2">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3.2">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3.2">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3.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3.2">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3.2">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3.2">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3.2">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3.2">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3.2">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3.2">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3.2">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3.2">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3.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3.2">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3.2">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3.2">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3.2">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3.2">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3.2">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3.2">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3.2">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3.2">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3.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3.2">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3.2">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3.2">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3.2">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3.2">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3.2">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3.2">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3.2">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3.2">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3.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3.2">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3.2">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3.2">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3.2">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3.2">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3.2">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3.2">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3.2">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3.2">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3.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3.2">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3.2">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3.2">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3.2">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3.2">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3.2">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3.2">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3.2">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3.2">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3.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3.2">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3.2">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3.2">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3.2">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3.2">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3.2">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3.2">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3.2">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3.2">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3.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3.2">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3.2">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3.2">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3.2">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3.2">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3.2">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3.2">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3.2">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3.2">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3.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3.2">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3.2">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3.2">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3.2">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3.2">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3.2">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3.2">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3.2">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3.2">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3.2">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3.2">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3.2">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3.2">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3.2">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3.2">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3.2">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3.2">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3.2">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3.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3.2">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3.2">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3.2">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3.2">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3.2">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3.2">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3.2">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3.2">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3.2">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3.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3.2">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3.2">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3.2">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3.2">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3.2">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3.2">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3.2">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3.2">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3.2">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3.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3.2">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3.2">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3.2">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3.2">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3.2">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3.2">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3.2">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3.2">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3.2">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3.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3.2">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3.2">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3.2">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3.2">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3.2">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3.2">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3.2">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3.2">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3.2">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3.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3.2">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3.2">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3.2">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3.2">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3.2">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3.2">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3.2">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3.2">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3.2">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3.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3.2">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3.2">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3.2">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3.2">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3.2">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3.2">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3.2">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3.2">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3.2">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3.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3.2">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3.2">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3.2">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3.2">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3.2">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3.2">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3.2">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3.2">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3.2">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3.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3.2">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3.2">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3.2">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3.2">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3.2">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3.2">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3.2">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3.2">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3.2">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3.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3.2">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3.2">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3.2">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3.2">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3.2">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3.2">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3.2">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3.2">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3.2">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3.2">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3.2">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3.2">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3.2">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3.2">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3.2">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3.2">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3.2">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3.2">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3.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3.2">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3.2">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3.2">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3.2">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3.2">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3.2">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3.2">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3.2">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3.2">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3.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3.2">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3.2">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3.2">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3.2">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3.2">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3.2">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3.2">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3.2">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3.2">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3.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3.2">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3.2">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3.2">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3.2">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3.2">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3.2">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3.2">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3.2">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3.2">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3.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3.2">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3.2">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3.2">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3.2">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3.2">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3.2">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3.2">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3.2">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3.2">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3.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3.2">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3.2">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3.2">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3.2">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3.2">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3.2">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3.2">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3.2">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3.2">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3.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3.2">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3.2">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3.2">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3.2">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3.2">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3.2">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3.2">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3.2">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3.2">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3.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3.2">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3.2">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3.2">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3.2">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3.2">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3.2">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3.2">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3.2">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3.2">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3.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3.2">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3.2">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3.2">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3.2">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3.2">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3.2">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3.2">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3.2">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3.2">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3.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3.2">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3.2">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3.2">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3.2">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3.2">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3.2">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3.2">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3.2">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3.2">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3.2">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3.2">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3.2">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3.2">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3.2">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3.2">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3.2">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3.2">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3.2">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3.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3.2">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3.2">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3.2">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3.2">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3.2">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3.2">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3.2">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3.2">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3.2">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3.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3.2">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3.2">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3.2">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3.2">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3.2">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3.2">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3.2">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3.2">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3.2">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3.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3.2">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3.2">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3.2">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3.2">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3.2">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3.2">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3.2">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3.2">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3.2">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3.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3.2">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3.2">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3.2">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3.2">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3.2">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3.2">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3.2">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3.2">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3.2">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3.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3.2">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3.2">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3.2">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3.2">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3.2">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3.2">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3.2">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3.2">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3.2">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3.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3.2">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3.2">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3.2">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3.2">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3.2">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3.2">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3.2">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3.2">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3.2">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3.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3.2">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3.2">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3.2">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3.2">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3.2">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3.2">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3.2">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3.2">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3.2">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3.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3.2">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3.2">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3.2">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3.2">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3.2">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3.2">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3.2">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3.2">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3.2">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3.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3.2">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3.2">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3.2">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3.2">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3.2">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3.2">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3.2">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3.2">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3.2">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3.2">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3.2">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3.2">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3.2">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3.2">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3.2">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3.2">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3.2">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3.2">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3.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3.2">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3.2">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3.2">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3.2">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3.2">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3.2">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3.2">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3.2">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3.2">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3.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3.2">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3.2">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3.2">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3.2">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3.2">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3.2">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3.2">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3.2">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3.2">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3.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3.2">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3.2">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3.2">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3.2">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3.2">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3.2">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3.2">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3.2">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3.2">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3.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3.2">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3.2">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3.2">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3.2">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3.2">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3.2">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3.2">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3.2">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3.2">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3.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3.2">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3.2">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3.2">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3.2">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3.2">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3.2">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3.2">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3.2">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3.2">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3.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3.2">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3.2">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3.2">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3.2">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3.2">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3.2">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3.2">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3.2">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8"/>
  <sheetViews>
    <sheetView workbookViewId="0"/>
  </sheetViews>
  <sheetFormatPr defaultColWidth="12.6640625" defaultRowHeight="15.75" customHeight="1"/>
  <cols>
    <col min="1" max="1" width="2.6640625" customWidth="1"/>
    <col min="2" max="6" width="41" customWidth="1"/>
  </cols>
  <sheetData>
    <row r="1" spans="1:7">
      <c r="A1" s="1"/>
    </row>
    <row r="2" spans="1:7">
      <c r="B2" s="42" t="s">
        <v>288</v>
      </c>
      <c r="C2" s="16"/>
      <c r="D2" s="17"/>
      <c r="E2" s="17"/>
      <c r="F2" s="16"/>
      <c r="G2" s="16"/>
    </row>
    <row r="3" spans="1:7">
      <c r="A3" s="1"/>
      <c r="B3" s="169" t="s">
        <v>291</v>
      </c>
      <c r="C3" s="166"/>
      <c r="D3" s="17"/>
      <c r="E3" s="17"/>
      <c r="F3" s="16"/>
      <c r="G3" s="16"/>
    </row>
    <row r="4" spans="1:7">
      <c r="A4" s="79"/>
      <c r="B4" s="80" t="s">
        <v>300</v>
      </c>
      <c r="C4" s="80" t="s">
        <v>302</v>
      </c>
      <c r="D4" s="80" t="s">
        <v>303</v>
      </c>
      <c r="E4" s="80" t="s">
        <v>305</v>
      </c>
      <c r="F4" s="80" t="s">
        <v>306</v>
      </c>
      <c r="G4" s="81"/>
    </row>
    <row r="5" spans="1:7">
      <c r="A5" s="1"/>
      <c r="B5" s="50" t="s">
        <v>307</v>
      </c>
      <c r="C5" s="50" t="s">
        <v>308</v>
      </c>
      <c r="D5" s="63" t="s">
        <v>309</v>
      </c>
      <c r="E5" s="32" t="s">
        <v>310</v>
      </c>
      <c r="F5" s="50" t="s">
        <v>312</v>
      </c>
      <c r="G5" s="16"/>
    </row>
    <row r="6" spans="1:7">
      <c r="A6" s="1"/>
      <c r="B6" s="50" t="s">
        <v>313</v>
      </c>
      <c r="C6" s="86" t="s">
        <v>314</v>
      </c>
      <c r="D6" s="32"/>
      <c r="E6" s="32" t="s">
        <v>322</v>
      </c>
      <c r="F6" s="50" t="s">
        <v>324</v>
      </c>
      <c r="G6" s="16"/>
    </row>
    <row r="7" spans="1:7">
      <c r="A7" s="1"/>
      <c r="B7" s="50" t="s">
        <v>326</v>
      </c>
      <c r="C7" s="86" t="s">
        <v>328</v>
      </c>
      <c r="D7" s="32"/>
      <c r="E7" s="32"/>
      <c r="F7" s="50" t="s">
        <v>330</v>
      </c>
      <c r="G7" s="16"/>
    </row>
    <row r="8" spans="1:7">
      <c r="A8" s="1"/>
    </row>
  </sheetData>
  <mergeCells count="1">
    <mergeCell ref="B3:C3"/>
  </mergeCells>
  <hyperlinks>
    <hyperlink ref="B3" r:id="rId1" xr:uid="{00000000-0004-0000-0600-000000000000}"/>
    <hyperlink ref="C6" r:id="rId2" location="gid=1289976507" xr:uid="{00000000-0004-0000-0600-000001000000}"/>
    <hyperlink ref="C7" r:id="rId3" location="gid=1787786724" xr:uid="{00000000-0004-0000-06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4"/>
  <sheetViews>
    <sheetView workbookViewId="0"/>
  </sheetViews>
  <sheetFormatPr defaultColWidth="12.6640625" defaultRowHeight="15.75" customHeight="1"/>
  <cols>
    <col min="1" max="1" width="2.6640625" customWidth="1"/>
    <col min="2" max="2" width="12.21875" customWidth="1"/>
    <col min="3" max="3" width="29.44140625" customWidth="1"/>
    <col min="4" max="4" width="19" customWidth="1"/>
    <col min="5" max="5" width="41" customWidth="1"/>
    <col min="6" max="7" width="49.88671875" customWidth="1"/>
  </cols>
  <sheetData>
    <row r="1" spans="1:8">
      <c r="A1" s="1"/>
    </row>
    <row r="2" spans="1:8">
      <c r="B2" s="42" t="s">
        <v>288</v>
      </c>
      <c r="C2" s="16"/>
      <c r="D2" s="17"/>
      <c r="E2" s="17"/>
      <c r="F2" s="16"/>
      <c r="G2" s="16"/>
      <c r="H2" s="16"/>
    </row>
    <row r="3" spans="1:8">
      <c r="A3" s="1"/>
      <c r="B3" s="169" t="s">
        <v>341</v>
      </c>
      <c r="C3" s="166"/>
      <c r="D3" s="17"/>
      <c r="E3" s="17"/>
      <c r="F3" s="16"/>
      <c r="G3" s="16"/>
      <c r="H3" s="16"/>
    </row>
    <row r="4" spans="1:8">
      <c r="A4" s="79"/>
      <c r="B4" s="97"/>
      <c r="C4" s="97"/>
      <c r="D4" s="97"/>
      <c r="E4" s="97"/>
      <c r="F4" s="97"/>
      <c r="G4" s="97"/>
      <c r="H4" s="81"/>
    </row>
    <row r="5" spans="1:8">
      <c r="A5" s="1"/>
      <c r="B5" s="16"/>
      <c r="C5" s="16"/>
      <c r="D5" s="81"/>
      <c r="E5" s="17"/>
      <c r="F5" s="16"/>
      <c r="G5" s="16"/>
      <c r="H5" s="16"/>
    </row>
    <row r="6" spans="1:8">
      <c r="A6" s="1"/>
      <c r="B6" s="18" t="s">
        <v>351</v>
      </c>
      <c r="C6" s="18" t="s">
        <v>352</v>
      </c>
      <c r="D6" s="18" t="s">
        <v>353</v>
      </c>
      <c r="E6" s="18" t="s">
        <v>354</v>
      </c>
      <c r="F6" s="18" t="s">
        <v>355</v>
      </c>
      <c r="G6" s="22"/>
      <c r="H6" s="16"/>
    </row>
    <row r="7" spans="1:8">
      <c r="A7" s="1"/>
      <c r="B7" s="98" t="s">
        <v>356</v>
      </c>
      <c r="C7" s="101" t="s">
        <v>359</v>
      </c>
      <c r="D7" s="102" t="s">
        <v>361</v>
      </c>
      <c r="E7" s="103" t="s">
        <v>363</v>
      </c>
      <c r="F7" s="103" t="s">
        <v>367</v>
      </c>
      <c r="G7" s="104"/>
      <c r="H7" s="16"/>
    </row>
    <row r="8" spans="1:8">
      <c r="A8" s="1"/>
      <c r="B8" s="105" t="s">
        <v>370</v>
      </c>
      <c r="C8" s="107" t="s">
        <v>372</v>
      </c>
      <c r="D8" s="109" t="s">
        <v>375</v>
      </c>
      <c r="E8" s="111" t="s">
        <v>380</v>
      </c>
      <c r="F8" s="113" t="s">
        <v>385</v>
      </c>
      <c r="G8" s="114" t="s">
        <v>397</v>
      </c>
    </row>
    <row r="9" spans="1:8">
      <c r="B9" s="98" t="s">
        <v>398</v>
      </c>
      <c r="C9" s="101" t="s">
        <v>399</v>
      </c>
      <c r="D9" s="102" t="s">
        <v>400</v>
      </c>
      <c r="E9" s="103" t="s">
        <v>403</v>
      </c>
      <c r="F9" s="103" t="s">
        <v>404</v>
      </c>
      <c r="G9" s="104"/>
    </row>
    <row r="10" spans="1:8">
      <c r="B10" s="105" t="s">
        <v>407</v>
      </c>
      <c r="C10" s="107" t="s">
        <v>409</v>
      </c>
      <c r="D10" s="109" t="s">
        <v>375</v>
      </c>
      <c r="E10" s="111" t="s">
        <v>411</v>
      </c>
      <c r="F10" s="111" t="s">
        <v>413</v>
      </c>
      <c r="G10" s="116"/>
    </row>
    <row r="11" spans="1:8">
      <c r="B11" s="98" t="s">
        <v>418</v>
      </c>
      <c r="C11" s="101" t="s">
        <v>419</v>
      </c>
      <c r="D11" s="102" t="s">
        <v>375</v>
      </c>
      <c r="E11" s="103" t="s">
        <v>423</v>
      </c>
      <c r="F11" s="103" t="s">
        <v>425</v>
      </c>
      <c r="G11" s="104"/>
    </row>
    <row r="12" spans="1:8">
      <c r="B12" s="105" t="s">
        <v>426</v>
      </c>
      <c r="C12" s="107" t="s">
        <v>427</v>
      </c>
      <c r="D12" s="109" t="s">
        <v>428</v>
      </c>
      <c r="E12" s="111" t="s">
        <v>429</v>
      </c>
      <c r="F12" s="111" t="s">
        <v>430</v>
      </c>
      <c r="G12" s="116"/>
    </row>
    <row r="14" spans="1:8">
      <c r="B14" s="13" t="s">
        <v>431</v>
      </c>
    </row>
  </sheetData>
  <mergeCells count="1">
    <mergeCell ref="B3:C3"/>
  </mergeCells>
  <hyperlinks>
    <hyperlink ref="B3"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27"/>
  <sheetViews>
    <sheetView workbookViewId="0"/>
  </sheetViews>
  <sheetFormatPr defaultColWidth="12.6640625" defaultRowHeight="15.75" customHeight="1"/>
  <cols>
    <col min="1" max="1" width="2.6640625" customWidth="1"/>
    <col min="2" max="2" width="41" customWidth="1"/>
    <col min="3" max="3" width="19" customWidth="1"/>
    <col min="4" max="4" width="64.6640625" customWidth="1"/>
    <col min="5" max="5" width="44.21875" customWidth="1"/>
  </cols>
  <sheetData>
    <row r="1" spans="1:6">
      <c r="A1" s="1"/>
      <c r="B1" s="44"/>
      <c r="C1" s="87"/>
      <c r="D1" s="39"/>
      <c r="E1" s="88"/>
      <c r="F1" s="44"/>
    </row>
    <row r="2" spans="1:6">
      <c r="A2" s="44"/>
      <c r="B2" s="42" t="s">
        <v>333</v>
      </c>
      <c r="C2" s="17"/>
      <c r="D2" s="17"/>
      <c r="E2" s="17"/>
      <c r="F2" s="16"/>
    </row>
    <row r="3" spans="1:6">
      <c r="A3" s="1"/>
      <c r="B3" s="89"/>
      <c r="C3" s="22"/>
      <c r="D3" s="22"/>
      <c r="E3" s="22"/>
      <c r="F3" s="16"/>
    </row>
    <row r="4" spans="1:6">
      <c r="A4" s="90"/>
      <c r="B4" s="91" t="s">
        <v>336</v>
      </c>
      <c r="C4" s="91" t="s">
        <v>338</v>
      </c>
      <c r="D4" s="49" t="s">
        <v>339</v>
      </c>
      <c r="E4" s="49" t="s">
        <v>340</v>
      </c>
      <c r="F4" s="93"/>
    </row>
    <row r="5" spans="1:6">
      <c r="A5" s="9"/>
      <c r="B5" s="170" t="s">
        <v>342</v>
      </c>
      <c r="C5" s="95" t="s">
        <v>344</v>
      </c>
      <c r="D5" s="30" t="s">
        <v>345</v>
      </c>
      <c r="E5" s="96" t="s">
        <v>346</v>
      </c>
      <c r="F5" s="16"/>
    </row>
    <row r="6" spans="1:6">
      <c r="A6" s="9"/>
      <c r="B6" s="171"/>
      <c r="C6" s="95" t="s">
        <v>347</v>
      </c>
      <c r="D6" s="30" t="s">
        <v>348</v>
      </c>
      <c r="E6" s="99" t="s">
        <v>349</v>
      </c>
      <c r="F6" s="16"/>
    </row>
    <row r="7" spans="1:6">
      <c r="A7" s="9"/>
      <c r="B7" s="162"/>
      <c r="C7" s="100">
        <v>46112</v>
      </c>
      <c r="D7" s="30" t="s">
        <v>358</v>
      </c>
      <c r="E7" s="25" t="s">
        <v>360</v>
      </c>
      <c r="F7" s="16"/>
    </row>
    <row r="8" spans="1:6">
      <c r="A8" s="9"/>
      <c r="B8" s="170" t="s">
        <v>362</v>
      </c>
      <c r="C8" s="95" t="s">
        <v>364</v>
      </c>
      <c r="D8" s="30" t="s">
        <v>365</v>
      </c>
      <c r="E8" s="96" t="s">
        <v>366</v>
      </c>
      <c r="F8" s="9"/>
    </row>
    <row r="9" spans="1:6">
      <c r="A9" s="9"/>
      <c r="B9" s="171"/>
      <c r="C9" s="100">
        <v>46172</v>
      </c>
      <c r="D9" s="30" t="s">
        <v>368</v>
      </c>
      <c r="E9" s="25" t="s">
        <v>369</v>
      </c>
      <c r="F9" s="9"/>
    </row>
    <row r="10" spans="1:6">
      <c r="A10" s="9"/>
      <c r="B10" s="162"/>
      <c r="C10" s="106">
        <v>46183</v>
      </c>
      <c r="D10" s="30" t="s">
        <v>373</v>
      </c>
      <c r="E10" s="96" t="s">
        <v>374</v>
      </c>
      <c r="F10" s="9"/>
    </row>
    <row r="11" spans="1:6">
      <c r="A11" s="9"/>
      <c r="B11" s="170" t="s">
        <v>376</v>
      </c>
      <c r="C11" s="106">
        <v>46188</v>
      </c>
      <c r="D11" s="30" t="s">
        <v>381</v>
      </c>
      <c r="E11" s="96" t="s">
        <v>382</v>
      </c>
      <c r="F11" s="9"/>
    </row>
    <row r="12" spans="1:6">
      <c r="A12" s="9"/>
      <c r="B12" s="171"/>
      <c r="C12" s="95" t="s">
        <v>383</v>
      </c>
      <c r="D12" s="30" t="s">
        <v>384</v>
      </c>
      <c r="E12" s="96" t="s">
        <v>386</v>
      </c>
      <c r="F12" s="9"/>
    </row>
    <row r="13" spans="1:6">
      <c r="A13" s="9"/>
      <c r="B13" s="171"/>
      <c r="C13" s="95" t="s">
        <v>387</v>
      </c>
      <c r="D13" s="30" t="s">
        <v>388</v>
      </c>
      <c r="E13" s="96" t="s">
        <v>389</v>
      </c>
      <c r="F13" s="9"/>
    </row>
    <row r="14" spans="1:6">
      <c r="A14" s="9"/>
      <c r="B14" s="171"/>
      <c r="C14" s="95" t="s">
        <v>390</v>
      </c>
      <c r="D14" s="30" t="s">
        <v>391</v>
      </c>
      <c r="E14" s="96" t="s">
        <v>392</v>
      </c>
      <c r="F14" s="9"/>
    </row>
    <row r="15" spans="1:6">
      <c r="A15" s="9"/>
      <c r="B15" s="162"/>
      <c r="C15" s="95" t="s">
        <v>393</v>
      </c>
      <c r="D15" s="30" t="s">
        <v>394</v>
      </c>
      <c r="E15" s="96" t="s">
        <v>395</v>
      </c>
      <c r="F15" s="9"/>
    </row>
    <row r="16" spans="1:6">
      <c r="A16" s="9"/>
      <c r="B16" s="170" t="s">
        <v>396</v>
      </c>
      <c r="C16" s="100">
        <v>46235</v>
      </c>
      <c r="D16" s="30" t="s">
        <v>401</v>
      </c>
      <c r="E16" s="96" t="s">
        <v>402</v>
      </c>
      <c r="F16" s="9"/>
    </row>
    <row r="17" spans="1:6">
      <c r="A17" s="9"/>
      <c r="B17" s="171"/>
      <c r="C17" s="96" t="s">
        <v>405</v>
      </c>
      <c r="D17" s="30" t="s">
        <v>406</v>
      </c>
      <c r="E17" s="96" t="s">
        <v>408</v>
      </c>
      <c r="F17" s="9"/>
    </row>
    <row r="18" spans="1:6">
      <c r="A18" s="9"/>
      <c r="B18" s="171"/>
      <c r="C18" s="95" t="s">
        <v>410</v>
      </c>
      <c r="D18" s="30" t="s">
        <v>412</v>
      </c>
      <c r="E18" s="96" t="s">
        <v>414</v>
      </c>
      <c r="F18" s="9"/>
    </row>
    <row r="19" spans="1:6">
      <c r="A19" s="9"/>
      <c r="B19" s="171"/>
      <c r="C19" s="95" t="s">
        <v>415</v>
      </c>
      <c r="D19" s="30" t="s">
        <v>416</v>
      </c>
      <c r="E19" s="96" t="s">
        <v>417</v>
      </c>
      <c r="F19" s="9"/>
    </row>
    <row r="20" spans="1:6">
      <c r="A20" s="9"/>
      <c r="B20" s="162"/>
      <c r="C20" s="95" t="s">
        <v>420</v>
      </c>
      <c r="D20" s="30" t="s">
        <v>422</v>
      </c>
      <c r="E20" s="96" t="s">
        <v>424</v>
      </c>
      <c r="F20" s="9"/>
    </row>
    <row r="21" spans="1:6">
      <c r="A21" s="9"/>
      <c r="B21" s="117"/>
      <c r="C21" s="118"/>
      <c r="D21" s="119"/>
      <c r="E21" s="120"/>
      <c r="F21" s="9"/>
    </row>
    <row r="22" spans="1:6" ht="15.75" customHeight="1">
      <c r="A22" s="9"/>
      <c r="B22" s="121" t="s">
        <v>432</v>
      </c>
      <c r="C22" s="118"/>
      <c r="D22" s="119"/>
      <c r="E22" s="120"/>
      <c r="F22" s="9"/>
    </row>
    <row r="23" spans="1:6" ht="15.75" customHeight="1">
      <c r="A23" s="9"/>
      <c r="B23" s="172" t="s">
        <v>433</v>
      </c>
      <c r="C23" s="166"/>
      <c r="D23" s="166"/>
      <c r="E23" s="166"/>
      <c r="F23" s="9"/>
    </row>
    <row r="24" spans="1:6" ht="15.75" customHeight="1">
      <c r="A24" s="9"/>
      <c r="B24" s="122"/>
      <c r="C24" s="118"/>
      <c r="D24" s="119"/>
      <c r="E24" s="120"/>
      <c r="F24" s="9"/>
    </row>
    <row r="25" spans="1:6" ht="15.75" customHeight="1">
      <c r="A25" s="9"/>
      <c r="B25" s="122"/>
      <c r="C25" s="118"/>
      <c r="D25" s="119"/>
      <c r="E25" s="120"/>
      <c r="F25" s="9"/>
    </row>
    <row r="26" spans="1:6" ht="15.75" customHeight="1">
      <c r="A26" s="9"/>
      <c r="B26" s="123"/>
      <c r="C26" s="118"/>
      <c r="D26" s="119"/>
      <c r="E26" s="120"/>
      <c r="F26" s="9"/>
    </row>
    <row r="27" spans="1:6" ht="15.75" customHeight="1">
      <c r="A27" s="9"/>
      <c r="B27" s="121"/>
      <c r="C27" s="118"/>
      <c r="D27" s="119"/>
      <c r="E27" s="120"/>
      <c r="F27" s="9"/>
    </row>
  </sheetData>
  <mergeCells count="5">
    <mergeCell ref="B5:B7"/>
    <mergeCell ref="B8:B10"/>
    <mergeCell ref="B11:B15"/>
    <mergeCell ref="B16:B20"/>
    <mergeCell ref="B23:E23"/>
  </mergeCells>
  <hyperlinks>
    <hyperlink ref="E6"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34"/>
  <sheetViews>
    <sheetView workbookViewId="0"/>
  </sheetViews>
  <sheetFormatPr defaultColWidth="12.6640625" defaultRowHeight="15.75" customHeight="1"/>
  <cols>
    <col min="1" max="1" width="3.21875" customWidth="1"/>
    <col min="2" max="2" width="27" customWidth="1"/>
    <col min="3" max="4" width="20.33203125" customWidth="1"/>
    <col min="5" max="5" width="33.44140625" customWidth="1"/>
    <col min="6" max="6" width="26.33203125" customWidth="1"/>
    <col min="7" max="7" width="26" customWidth="1"/>
    <col min="8" max="8" width="43.44140625" customWidth="1"/>
  </cols>
  <sheetData>
    <row r="1" spans="1:8" ht="16.8">
      <c r="A1" s="128"/>
      <c r="B1" s="17"/>
      <c r="C1" s="130"/>
      <c r="D1" s="130"/>
      <c r="E1" s="131"/>
      <c r="F1" s="17"/>
      <c r="G1" s="17"/>
      <c r="H1" s="17"/>
    </row>
    <row r="2" spans="1:8" ht="37.200000000000003">
      <c r="A2" s="128"/>
      <c r="B2" s="42" t="s">
        <v>441</v>
      </c>
      <c r="C2" s="134"/>
      <c r="D2" s="134"/>
      <c r="E2" s="136"/>
      <c r="F2" s="48"/>
      <c r="G2" s="48"/>
      <c r="H2" s="48"/>
    </row>
    <row r="3" spans="1:8" ht="18.600000000000001">
      <c r="A3" s="128"/>
      <c r="B3" s="48"/>
      <c r="C3" s="134"/>
      <c r="D3" s="134"/>
      <c r="E3" s="136"/>
      <c r="F3" s="48"/>
      <c r="G3" s="48"/>
      <c r="H3" s="48"/>
    </row>
    <row r="4" spans="1:8" ht="57">
      <c r="A4" s="128"/>
      <c r="B4" s="138" t="s">
        <v>444</v>
      </c>
      <c r="C4" s="139" t="s">
        <v>445</v>
      </c>
      <c r="D4" s="139" t="s">
        <v>446</v>
      </c>
      <c r="E4" s="142" t="s">
        <v>448</v>
      </c>
      <c r="F4" s="138" t="s">
        <v>452</v>
      </c>
      <c r="G4" s="138" t="s">
        <v>453</v>
      </c>
      <c r="H4" s="138" t="s">
        <v>454</v>
      </c>
    </row>
    <row r="5" spans="1:8" ht="237" customHeight="1">
      <c r="A5" s="128"/>
      <c r="B5" s="143" t="s">
        <v>456</v>
      </c>
      <c r="C5" s="145" t="s">
        <v>457</v>
      </c>
      <c r="D5" s="145" t="s">
        <v>458</v>
      </c>
      <c r="E5" s="146">
        <v>69103535</v>
      </c>
      <c r="F5" s="32" t="s">
        <v>462</v>
      </c>
      <c r="G5" s="63"/>
      <c r="H5" s="63" t="s">
        <v>465</v>
      </c>
    </row>
    <row r="6" spans="1:8" ht="106.5" customHeight="1">
      <c r="A6" s="128"/>
      <c r="B6" s="143" t="s">
        <v>466</v>
      </c>
      <c r="C6" s="145" t="s">
        <v>467</v>
      </c>
      <c r="D6" s="145" t="s">
        <v>468</v>
      </c>
      <c r="E6" s="146">
        <v>86994000</v>
      </c>
      <c r="F6" s="32" t="s">
        <v>469</v>
      </c>
      <c r="G6" s="32"/>
      <c r="H6" s="63" t="s">
        <v>470</v>
      </c>
    </row>
    <row r="7" spans="1:8" ht="94.5" customHeight="1">
      <c r="A7" s="128"/>
      <c r="B7" s="143" t="s">
        <v>471</v>
      </c>
      <c r="C7" s="145"/>
      <c r="D7" s="145" t="s">
        <v>473</v>
      </c>
      <c r="E7" s="146">
        <v>9600000</v>
      </c>
      <c r="F7" s="32" t="s">
        <v>474</v>
      </c>
      <c r="G7" s="32"/>
      <c r="H7" s="63" t="s">
        <v>475</v>
      </c>
    </row>
    <row r="8" spans="1:8" ht="213" customHeight="1">
      <c r="A8" s="128"/>
      <c r="B8" s="143" t="s">
        <v>476</v>
      </c>
      <c r="C8" s="145" t="s">
        <v>477</v>
      </c>
      <c r="D8" s="145" t="s">
        <v>479</v>
      </c>
      <c r="E8" s="146">
        <v>76190426</v>
      </c>
      <c r="F8" s="32" t="s">
        <v>481</v>
      </c>
      <c r="G8" s="32"/>
      <c r="H8" s="63" t="s">
        <v>482</v>
      </c>
    </row>
    <row r="9" spans="1:8" ht="237" customHeight="1">
      <c r="A9" s="128"/>
      <c r="B9" s="143" t="s">
        <v>484</v>
      </c>
      <c r="C9" s="145" t="s">
        <v>485</v>
      </c>
      <c r="D9" s="145" t="s">
        <v>486</v>
      </c>
      <c r="E9" s="146">
        <v>31212000</v>
      </c>
      <c r="F9" s="32" t="s">
        <v>487</v>
      </c>
      <c r="G9" s="32"/>
      <c r="H9" s="63" t="s">
        <v>488</v>
      </c>
    </row>
    <row r="10" spans="1:8" ht="176.25" customHeight="1">
      <c r="A10" s="128"/>
      <c r="B10" s="143" t="s">
        <v>489</v>
      </c>
      <c r="C10" s="145" t="s">
        <v>490</v>
      </c>
      <c r="D10" s="145" t="s">
        <v>491</v>
      </c>
      <c r="E10" s="146">
        <f>102320000+2376000</f>
        <v>104696000</v>
      </c>
      <c r="F10" s="32" t="s">
        <v>497</v>
      </c>
      <c r="G10" s="32"/>
      <c r="H10" s="63" t="s">
        <v>507</v>
      </c>
    </row>
    <row r="11" spans="1:8" ht="199.5" customHeight="1">
      <c r="A11" s="128"/>
      <c r="B11" s="143" t="s">
        <v>510</v>
      </c>
      <c r="C11" s="145" t="s">
        <v>511</v>
      </c>
      <c r="D11" s="145" t="s">
        <v>512</v>
      </c>
      <c r="E11" s="146">
        <v>1073137600</v>
      </c>
      <c r="F11" s="32" t="s">
        <v>513</v>
      </c>
      <c r="G11" s="32"/>
      <c r="H11" s="63" t="s">
        <v>515</v>
      </c>
    </row>
    <row r="12" spans="1:8" ht="70.5" customHeight="1">
      <c r="A12" s="128"/>
      <c r="B12" s="143" t="s">
        <v>516</v>
      </c>
      <c r="C12" s="145" t="s">
        <v>517</v>
      </c>
      <c r="D12" s="145" t="s">
        <v>518</v>
      </c>
      <c r="E12" s="146">
        <v>35200000</v>
      </c>
      <c r="F12" s="32" t="s">
        <v>519</v>
      </c>
      <c r="G12" s="32"/>
      <c r="H12" s="63" t="s">
        <v>520</v>
      </c>
    </row>
    <row r="13" spans="1:8" ht="70.5" customHeight="1">
      <c r="A13" s="128"/>
      <c r="B13" s="143" t="s">
        <v>521</v>
      </c>
      <c r="C13" s="145" t="s">
        <v>522</v>
      </c>
      <c r="D13" s="145" t="s">
        <v>523</v>
      </c>
      <c r="E13" s="146">
        <v>19796000</v>
      </c>
      <c r="F13" s="32" t="s">
        <v>524</v>
      </c>
      <c r="G13" s="32"/>
      <c r="H13" s="32"/>
    </row>
    <row r="14" spans="1:8" ht="70.5" customHeight="1">
      <c r="A14" s="128"/>
      <c r="B14" s="143" t="s">
        <v>525</v>
      </c>
      <c r="C14" s="145" t="s">
        <v>526</v>
      </c>
      <c r="D14" s="145" t="s">
        <v>528</v>
      </c>
      <c r="E14" s="146">
        <v>20500000</v>
      </c>
      <c r="F14" s="32" t="s">
        <v>524</v>
      </c>
      <c r="G14" s="32"/>
      <c r="H14" s="32"/>
    </row>
    <row r="15" spans="1:8" ht="70.5" customHeight="1">
      <c r="A15" s="128"/>
      <c r="B15" s="143" t="s">
        <v>530</v>
      </c>
      <c r="C15" s="145" t="s">
        <v>531</v>
      </c>
      <c r="D15" s="145" t="s">
        <v>532</v>
      </c>
      <c r="E15" s="146">
        <v>67824000</v>
      </c>
      <c r="F15" s="32" t="s">
        <v>533</v>
      </c>
      <c r="G15" s="32"/>
      <c r="H15" s="32"/>
    </row>
    <row r="16" spans="1:8" ht="70.5" customHeight="1">
      <c r="A16" s="128"/>
      <c r="B16" s="143" t="s">
        <v>534</v>
      </c>
      <c r="C16" s="145" t="s">
        <v>535</v>
      </c>
      <c r="D16" s="145" t="s">
        <v>532</v>
      </c>
      <c r="E16" s="146">
        <v>4699658</v>
      </c>
      <c r="F16" s="32" t="s">
        <v>536</v>
      </c>
      <c r="G16" s="32"/>
      <c r="H16" s="32"/>
    </row>
    <row r="17" spans="1:8" ht="70.5" customHeight="1">
      <c r="A17" s="128"/>
      <c r="B17" s="143" t="s">
        <v>537</v>
      </c>
      <c r="C17" s="145" t="s">
        <v>538</v>
      </c>
      <c r="D17" s="145" t="s">
        <v>532</v>
      </c>
      <c r="E17" s="146">
        <v>5990000</v>
      </c>
      <c r="F17" s="32" t="s">
        <v>271</v>
      </c>
      <c r="G17" s="32"/>
      <c r="H17" s="32" t="s">
        <v>539</v>
      </c>
    </row>
    <row r="18" spans="1:8" ht="70.5" customHeight="1">
      <c r="A18" s="128"/>
      <c r="B18" s="143" t="s">
        <v>540</v>
      </c>
      <c r="C18" s="145" t="s">
        <v>541</v>
      </c>
      <c r="D18" s="145" t="s">
        <v>532</v>
      </c>
      <c r="E18" s="146">
        <v>12372000</v>
      </c>
      <c r="F18" s="32" t="s">
        <v>524</v>
      </c>
      <c r="G18" s="32"/>
      <c r="H18" s="32"/>
    </row>
    <row r="19" spans="1:8" ht="70.5" customHeight="1">
      <c r="A19" s="128"/>
      <c r="B19" s="143" t="s">
        <v>543</v>
      </c>
      <c r="C19" s="145" t="s">
        <v>544</v>
      </c>
      <c r="D19" s="145" t="s">
        <v>532</v>
      </c>
      <c r="E19" s="146">
        <v>8600000</v>
      </c>
      <c r="F19" s="32" t="s">
        <v>524</v>
      </c>
      <c r="G19" s="32"/>
      <c r="H19" s="32"/>
    </row>
    <row r="20" spans="1:8" ht="70.5" customHeight="1">
      <c r="A20" s="128"/>
      <c r="B20" s="143" t="s">
        <v>546</v>
      </c>
      <c r="C20" s="145"/>
      <c r="D20" s="145" t="s">
        <v>532</v>
      </c>
      <c r="E20" s="146">
        <v>230000</v>
      </c>
      <c r="F20" s="32" t="s">
        <v>547</v>
      </c>
      <c r="G20" s="32"/>
      <c r="H20" s="32" t="s">
        <v>549</v>
      </c>
    </row>
    <row r="21" spans="1:8" ht="70.5" customHeight="1">
      <c r="A21" s="128"/>
      <c r="B21" s="143" t="s">
        <v>551</v>
      </c>
      <c r="C21" s="145" t="s">
        <v>553</v>
      </c>
      <c r="D21" s="145" t="s">
        <v>532</v>
      </c>
      <c r="E21" s="146">
        <v>670000</v>
      </c>
      <c r="F21" s="32" t="s">
        <v>554</v>
      </c>
      <c r="G21" s="32"/>
      <c r="H21" s="32" t="s">
        <v>549</v>
      </c>
    </row>
    <row r="22" spans="1:8" ht="70.5" customHeight="1">
      <c r="A22" s="128"/>
      <c r="B22" s="143" t="s">
        <v>557</v>
      </c>
      <c r="C22" s="145" t="s">
        <v>558</v>
      </c>
      <c r="D22" s="145" t="s">
        <v>532</v>
      </c>
      <c r="E22" s="146">
        <v>580000</v>
      </c>
      <c r="F22" s="32" t="s">
        <v>547</v>
      </c>
      <c r="G22" s="32"/>
      <c r="H22" s="32" t="s">
        <v>560</v>
      </c>
    </row>
    <row r="23" spans="1:8" ht="70.5" customHeight="1">
      <c r="A23" s="128"/>
      <c r="B23" s="143" t="s">
        <v>561</v>
      </c>
      <c r="C23" s="145" t="s">
        <v>563</v>
      </c>
      <c r="D23" s="145" t="s">
        <v>532</v>
      </c>
      <c r="E23" s="146">
        <v>914000</v>
      </c>
      <c r="F23" s="32" t="s">
        <v>564</v>
      </c>
      <c r="G23" s="32"/>
      <c r="H23" s="32"/>
    </row>
    <row r="24" spans="1:8" ht="70.5" customHeight="1">
      <c r="A24" s="128"/>
      <c r="B24" s="143" t="s">
        <v>565</v>
      </c>
      <c r="C24" s="145" t="s">
        <v>566</v>
      </c>
      <c r="D24" s="145" t="s">
        <v>532</v>
      </c>
      <c r="E24" s="146">
        <v>1434000</v>
      </c>
      <c r="F24" s="32" t="s">
        <v>564</v>
      </c>
      <c r="G24" s="32"/>
      <c r="H24" s="32"/>
    </row>
    <row r="25" spans="1:8" ht="70.5" customHeight="1">
      <c r="A25" s="128"/>
      <c r="B25" s="143" t="s">
        <v>567</v>
      </c>
      <c r="C25" s="145" t="s">
        <v>568</v>
      </c>
      <c r="D25" s="145" t="s">
        <v>532</v>
      </c>
      <c r="E25" s="146">
        <v>33185906</v>
      </c>
      <c r="F25" s="32" t="s">
        <v>569</v>
      </c>
      <c r="G25" s="32"/>
      <c r="H25" s="32" t="s">
        <v>571</v>
      </c>
    </row>
    <row r="26" spans="1:8" ht="70.5" customHeight="1">
      <c r="A26" s="128"/>
      <c r="B26" s="143" t="s">
        <v>572</v>
      </c>
      <c r="C26" s="145" t="s">
        <v>573</v>
      </c>
      <c r="D26" s="145" t="s">
        <v>532</v>
      </c>
      <c r="E26" s="146">
        <v>6816837</v>
      </c>
      <c r="F26" s="32" t="s">
        <v>569</v>
      </c>
      <c r="G26" s="32"/>
      <c r="H26" s="32" t="s">
        <v>576</v>
      </c>
    </row>
    <row r="27" spans="1:8" ht="70.5" customHeight="1">
      <c r="A27" s="128"/>
      <c r="B27" s="143" t="s">
        <v>577</v>
      </c>
      <c r="C27" s="145" t="s">
        <v>578</v>
      </c>
      <c r="D27" s="145" t="s">
        <v>532</v>
      </c>
      <c r="E27" s="146">
        <v>5373932</v>
      </c>
      <c r="F27" s="32" t="s">
        <v>569</v>
      </c>
      <c r="G27" s="32"/>
      <c r="H27" s="32" t="s">
        <v>539</v>
      </c>
    </row>
    <row r="28" spans="1:8" ht="70.5" customHeight="1">
      <c r="A28" s="128"/>
      <c r="B28" s="143" t="s">
        <v>579</v>
      </c>
      <c r="C28" s="145" t="s">
        <v>580</v>
      </c>
      <c r="D28" s="145" t="s">
        <v>532</v>
      </c>
      <c r="E28" s="146">
        <v>67448660</v>
      </c>
      <c r="F28" s="32" t="s">
        <v>581</v>
      </c>
      <c r="G28" s="32"/>
      <c r="H28" s="32" t="s">
        <v>571</v>
      </c>
    </row>
    <row r="29" spans="1:8" ht="70.5" customHeight="1">
      <c r="A29" s="128"/>
      <c r="B29" s="143" t="s">
        <v>582</v>
      </c>
      <c r="C29" s="145" t="s">
        <v>583</v>
      </c>
      <c r="D29" s="145" t="s">
        <v>532</v>
      </c>
      <c r="E29" s="146">
        <v>1944000</v>
      </c>
      <c r="F29" s="32" t="s">
        <v>584</v>
      </c>
      <c r="G29" s="32"/>
      <c r="H29" s="32"/>
    </row>
    <row r="30" spans="1:8" ht="70.5" customHeight="1">
      <c r="A30" s="128"/>
      <c r="B30" s="143" t="s">
        <v>585</v>
      </c>
      <c r="C30" s="145" t="s">
        <v>586</v>
      </c>
      <c r="D30" s="145" t="s">
        <v>532</v>
      </c>
      <c r="E30" s="146">
        <v>235785000</v>
      </c>
      <c r="F30" s="32" t="s">
        <v>587</v>
      </c>
      <c r="G30" s="32"/>
      <c r="H30" s="32"/>
    </row>
    <row r="31" spans="1:8" ht="16.8">
      <c r="A31" s="128"/>
      <c r="B31" s="32"/>
      <c r="C31" s="151"/>
      <c r="D31" s="151"/>
      <c r="E31" s="146"/>
      <c r="F31" s="32"/>
      <c r="G31" s="32"/>
      <c r="H31" s="32"/>
    </row>
    <row r="32" spans="1:8" ht="16.8">
      <c r="A32" s="128"/>
      <c r="B32" s="17"/>
      <c r="C32" s="130"/>
      <c r="D32" s="130"/>
      <c r="E32" s="131"/>
      <c r="F32" s="17"/>
      <c r="G32" s="17"/>
      <c r="H32" s="17"/>
    </row>
    <row r="33" spans="1:8" ht="16.8">
      <c r="A33" s="128"/>
      <c r="B33" s="17"/>
      <c r="C33" s="130"/>
      <c r="D33" s="130"/>
      <c r="E33" s="131"/>
      <c r="F33" s="17"/>
      <c r="G33" s="17"/>
      <c r="H33" s="17"/>
    </row>
    <row r="34" spans="1:8" ht="16.8">
      <c r="A34" s="128"/>
      <c r="B34" s="17"/>
      <c r="C34" s="130"/>
      <c r="D34" s="130"/>
      <c r="E34" s="131"/>
      <c r="F34" s="17"/>
      <c r="G34" s="17"/>
      <c r="H34" s="17"/>
    </row>
  </sheetData>
  <autoFilter ref="A4:H30" xr:uid="{00000000-0009-0000-0000-000009000000}">
    <sortState xmlns:xlrd2="http://schemas.microsoft.com/office/spreadsheetml/2017/richdata2" ref="A4:H30">
      <sortCondition ref="F4:F30"/>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39"/>
  <sheetViews>
    <sheetView workbookViewId="0"/>
  </sheetViews>
  <sheetFormatPr defaultColWidth="12.6640625" defaultRowHeight="15.75" customHeight="1"/>
  <cols>
    <col min="1" max="1" width="2.88671875" customWidth="1"/>
    <col min="2" max="2" width="7.44140625" customWidth="1"/>
    <col min="3" max="3" width="43.109375" customWidth="1"/>
    <col min="4" max="4" width="38.109375" customWidth="1"/>
    <col min="5" max="5" width="19" customWidth="1"/>
    <col min="6" max="6" width="32.6640625" customWidth="1"/>
    <col min="7" max="7" width="5.33203125" customWidth="1"/>
  </cols>
  <sheetData>
    <row r="1" spans="1:7">
      <c r="A1" s="126"/>
      <c r="B1" s="127"/>
      <c r="C1" s="126"/>
      <c r="D1" s="126"/>
      <c r="E1" s="127"/>
      <c r="F1" s="126"/>
      <c r="G1" s="126"/>
    </row>
    <row r="2" spans="1:7">
      <c r="A2" s="126"/>
      <c r="B2" s="129" t="s">
        <v>13</v>
      </c>
      <c r="C2" s="129" t="s">
        <v>437</v>
      </c>
      <c r="D2" s="129" t="s">
        <v>438</v>
      </c>
      <c r="E2" s="129" t="s">
        <v>439</v>
      </c>
      <c r="F2" s="129" t="s">
        <v>52</v>
      </c>
      <c r="G2" s="126"/>
    </row>
    <row r="3" spans="1:7">
      <c r="A3" s="126"/>
      <c r="B3" s="132">
        <v>1</v>
      </c>
      <c r="C3" s="133" t="s">
        <v>440</v>
      </c>
      <c r="D3" s="140" t="s">
        <v>443</v>
      </c>
      <c r="E3" s="132" t="s">
        <v>447</v>
      </c>
      <c r="F3" s="140" t="s">
        <v>451</v>
      </c>
      <c r="G3" s="126"/>
    </row>
    <row r="4" spans="1:7">
      <c r="A4" s="126"/>
      <c r="B4" s="132">
        <v>2</v>
      </c>
      <c r="C4" s="133" t="s">
        <v>463</v>
      </c>
      <c r="D4" s="140" t="s">
        <v>464</v>
      </c>
      <c r="E4" s="132" t="s">
        <v>447</v>
      </c>
      <c r="F4" s="133"/>
      <c r="G4" s="126"/>
    </row>
    <row r="5" spans="1:7">
      <c r="A5" s="126"/>
      <c r="B5" s="132">
        <v>3</v>
      </c>
      <c r="C5" s="133" t="s">
        <v>478</v>
      </c>
      <c r="D5" s="140" t="s">
        <v>480</v>
      </c>
      <c r="E5" s="132" t="s">
        <v>447</v>
      </c>
      <c r="F5" s="133"/>
      <c r="G5" s="126"/>
    </row>
    <row r="6" spans="1:7">
      <c r="A6" s="126"/>
      <c r="B6" s="132">
        <v>4</v>
      </c>
      <c r="C6" s="133" t="s">
        <v>492</v>
      </c>
      <c r="D6" s="148" t="s">
        <v>494</v>
      </c>
      <c r="E6" s="132" t="s">
        <v>447</v>
      </c>
      <c r="F6" s="133"/>
      <c r="G6" s="126"/>
    </row>
    <row r="7" spans="1:7">
      <c r="A7" s="126"/>
      <c r="B7" s="132">
        <v>5</v>
      </c>
      <c r="C7" s="133" t="s">
        <v>495</v>
      </c>
      <c r="D7" s="148" t="s">
        <v>174</v>
      </c>
      <c r="E7" s="132" t="s">
        <v>447</v>
      </c>
      <c r="F7" s="133"/>
      <c r="G7" s="126"/>
    </row>
    <row r="8" spans="1:7">
      <c r="A8" s="126"/>
      <c r="B8" s="132">
        <v>6</v>
      </c>
      <c r="C8" s="133" t="s">
        <v>508</v>
      </c>
      <c r="D8" s="148" t="s">
        <v>509</v>
      </c>
      <c r="E8" s="132" t="s">
        <v>447</v>
      </c>
      <c r="F8" s="133"/>
      <c r="G8" s="126"/>
    </row>
    <row r="9" spans="1:7">
      <c r="A9" s="126"/>
      <c r="B9" s="132">
        <v>7</v>
      </c>
      <c r="C9" s="133" t="s">
        <v>527</v>
      </c>
      <c r="D9" s="148" t="s">
        <v>529</v>
      </c>
      <c r="E9" s="132" t="s">
        <v>447</v>
      </c>
      <c r="F9" s="133"/>
      <c r="G9" s="126"/>
    </row>
    <row r="10" spans="1:7">
      <c r="A10" s="126"/>
      <c r="B10" s="132">
        <v>8</v>
      </c>
      <c r="C10" s="133" t="s">
        <v>555</v>
      </c>
      <c r="D10" s="148" t="s">
        <v>556</v>
      </c>
      <c r="E10" s="132" t="s">
        <v>447</v>
      </c>
      <c r="F10" s="133"/>
      <c r="G10" s="126"/>
    </row>
    <row r="11" spans="1:7">
      <c r="A11" s="126"/>
      <c r="B11" s="132">
        <v>9</v>
      </c>
      <c r="C11" s="133" t="s">
        <v>574</v>
      </c>
      <c r="D11" s="148" t="s">
        <v>575</v>
      </c>
      <c r="E11" s="132" t="s">
        <v>447</v>
      </c>
      <c r="F11" s="133"/>
      <c r="G11" s="126"/>
    </row>
    <row r="12" spans="1:7">
      <c r="A12" s="126"/>
      <c r="B12" s="132">
        <v>10</v>
      </c>
      <c r="C12" s="133" t="s">
        <v>588</v>
      </c>
      <c r="D12" s="148" t="s">
        <v>590</v>
      </c>
      <c r="E12" s="132"/>
      <c r="F12" s="133"/>
      <c r="G12" s="126"/>
    </row>
    <row r="13" spans="1:7">
      <c r="A13" s="126"/>
      <c r="B13" s="132">
        <v>11</v>
      </c>
      <c r="C13" s="133" t="s">
        <v>591</v>
      </c>
      <c r="D13" s="148" t="s">
        <v>592</v>
      </c>
      <c r="E13" s="132" t="s">
        <v>447</v>
      </c>
      <c r="F13" s="133"/>
      <c r="G13" s="126"/>
    </row>
    <row r="14" spans="1:7">
      <c r="A14" s="126"/>
      <c r="B14" s="132">
        <v>12</v>
      </c>
      <c r="C14" s="133" t="s">
        <v>593</v>
      </c>
      <c r="D14" s="148" t="s">
        <v>594</v>
      </c>
      <c r="E14" s="132" t="s">
        <v>447</v>
      </c>
      <c r="F14" s="133"/>
      <c r="G14" s="126"/>
    </row>
    <row r="15" spans="1:7">
      <c r="A15" s="126"/>
      <c r="B15" s="132">
        <v>13</v>
      </c>
      <c r="C15" s="133" t="s">
        <v>595</v>
      </c>
      <c r="D15" s="148" t="s">
        <v>596</v>
      </c>
      <c r="E15" s="132" t="s">
        <v>447</v>
      </c>
      <c r="F15" s="133"/>
      <c r="G15" s="126"/>
    </row>
    <row r="16" spans="1:7">
      <c r="A16" s="126"/>
      <c r="B16" s="132">
        <v>14</v>
      </c>
      <c r="C16" s="133" t="s">
        <v>597</v>
      </c>
      <c r="D16" s="148" t="s">
        <v>598</v>
      </c>
      <c r="E16" s="132" t="s">
        <v>447</v>
      </c>
      <c r="F16" s="133"/>
      <c r="G16" s="126"/>
    </row>
    <row r="17" spans="1:7">
      <c r="A17" s="126"/>
      <c r="B17" s="132">
        <v>15</v>
      </c>
      <c r="C17" s="133" t="s">
        <v>599</v>
      </c>
      <c r="D17" s="156" t="s">
        <v>600</v>
      </c>
      <c r="E17" s="132" t="s">
        <v>447</v>
      </c>
      <c r="F17" s="133" t="s">
        <v>601</v>
      </c>
      <c r="G17" s="126"/>
    </row>
    <row r="18" spans="1:7">
      <c r="A18" s="126"/>
      <c r="B18" s="132">
        <v>16</v>
      </c>
      <c r="C18" s="133" t="s">
        <v>602</v>
      </c>
      <c r="D18" s="157" t="s">
        <v>603</v>
      </c>
      <c r="E18" s="132" t="s">
        <v>447</v>
      </c>
      <c r="F18" s="133" t="s">
        <v>604</v>
      </c>
      <c r="G18" s="126"/>
    </row>
    <row r="19" spans="1:7">
      <c r="A19" s="126"/>
      <c r="B19" s="132">
        <v>17</v>
      </c>
      <c r="C19" s="133" t="s">
        <v>605</v>
      </c>
      <c r="D19" s="157" t="s">
        <v>606</v>
      </c>
      <c r="E19" s="132" t="s">
        <v>447</v>
      </c>
      <c r="F19" s="133" t="s">
        <v>604</v>
      </c>
      <c r="G19" s="126"/>
    </row>
    <row r="20" spans="1:7">
      <c r="A20" s="126"/>
      <c r="B20" s="132">
        <v>18</v>
      </c>
      <c r="C20" s="133" t="s">
        <v>607</v>
      </c>
      <c r="D20" s="148" t="s">
        <v>608</v>
      </c>
      <c r="E20" s="132" t="s">
        <v>447</v>
      </c>
      <c r="F20" s="133"/>
      <c r="G20" s="126"/>
    </row>
    <row r="21" spans="1:7">
      <c r="A21" s="126"/>
      <c r="B21" s="132">
        <v>19</v>
      </c>
      <c r="C21" s="133" t="s">
        <v>609</v>
      </c>
      <c r="D21" s="148" t="s">
        <v>610</v>
      </c>
      <c r="E21" s="132" t="s">
        <v>447</v>
      </c>
      <c r="F21" s="133"/>
      <c r="G21" s="126"/>
    </row>
    <row r="22" spans="1:7">
      <c r="A22" s="126"/>
      <c r="B22" s="132">
        <v>20</v>
      </c>
      <c r="C22" s="133" t="s">
        <v>611</v>
      </c>
      <c r="D22" s="148" t="s">
        <v>612</v>
      </c>
      <c r="E22" s="132" t="s">
        <v>447</v>
      </c>
      <c r="F22" s="133" t="s">
        <v>613</v>
      </c>
      <c r="G22" s="126"/>
    </row>
    <row r="23" spans="1:7">
      <c r="A23" s="126"/>
      <c r="B23" s="132">
        <v>21</v>
      </c>
      <c r="C23" s="133" t="s">
        <v>614</v>
      </c>
      <c r="D23" s="148" t="s">
        <v>615</v>
      </c>
      <c r="E23" s="132" t="s">
        <v>447</v>
      </c>
      <c r="F23" s="133"/>
      <c r="G23" s="126"/>
    </row>
    <row r="24" spans="1:7">
      <c r="A24" s="126"/>
      <c r="B24" s="132">
        <v>22</v>
      </c>
      <c r="C24" s="133" t="s">
        <v>616</v>
      </c>
      <c r="D24" s="148" t="s">
        <v>616</v>
      </c>
      <c r="E24" s="132" t="s">
        <v>447</v>
      </c>
      <c r="F24" s="133"/>
      <c r="G24" s="126"/>
    </row>
    <row r="25" spans="1:7">
      <c r="A25" s="126"/>
      <c r="B25" s="132">
        <v>23</v>
      </c>
      <c r="C25" s="133" t="s">
        <v>617</v>
      </c>
      <c r="D25" s="148" t="s">
        <v>618</v>
      </c>
      <c r="E25" s="132" t="s">
        <v>447</v>
      </c>
      <c r="F25" s="133"/>
      <c r="G25" s="126"/>
    </row>
    <row r="26" spans="1:7">
      <c r="A26" s="126"/>
      <c r="B26" s="132">
        <v>24</v>
      </c>
      <c r="C26" s="133" t="s">
        <v>619</v>
      </c>
      <c r="D26" s="148" t="s">
        <v>154</v>
      </c>
      <c r="E26" s="132" t="s">
        <v>447</v>
      </c>
      <c r="F26" s="133"/>
      <c r="G26" s="126"/>
    </row>
    <row r="27" spans="1:7">
      <c r="A27" s="126"/>
      <c r="B27" s="132">
        <v>25</v>
      </c>
      <c r="C27" s="133" t="s">
        <v>620</v>
      </c>
      <c r="D27" s="148" t="s">
        <v>621</v>
      </c>
      <c r="E27" s="132"/>
      <c r="F27" s="133"/>
      <c r="G27" s="126"/>
    </row>
    <row r="28" spans="1:7">
      <c r="A28" s="126"/>
      <c r="B28" s="132">
        <v>26</v>
      </c>
      <c r="C28" s="133" t="s">
        <v>622</v>
      </c>
      <c r="D28" s="158" t="s">
        <v>136</v>
      </c>
      <c r="E28" s="132" t="s">
        <v>447</v>
      </c>
      <c r="F28" s="133"/>
      <c r="G28" s="126"/>
    </row>
    <row r="29" spans="1:7">
      <c r="A29" s="126"/>
      <c r="B29" s="132">
        <v>27</v>
      </c>
      <c r="C29" s="133" t="s">
        <v>623</v>
      </c>
      <c r="D29" s="158" t="s">
        <v>624</v>
      </c>
      <c r="E29" s="132" t="s">
        <v>447</v>
      </c>
      <c r="F29" s="133"/>
      <c r="G29" s="126"/>
    </row>
    <row r="30" spans="1:7">
      <c r="A30" s="126"/>
      <c r="B30" s="132">
        <v>28</v>
      </c>
      <c r="C30" s="133" t="s">
        <v>625</v>
      </c>
      <c r="D30" s="148" t="s">
        <v>626</v>
      </c>
      <c r="E30" s="132" t="s">
        <v>447</v>
      </c>
      <c r="F30" s="133"/>
      <c r="G30" s="126"/>
    </row>
    <row r="31" spans="1:7">
      <c r="A31" s="126"/>
      <c r="B31" s="132">
        <v>29</v>
      </c>
      <c r="C31" s="133" t="s">
        <v>627</v>
      </c>
      <c r="D31" s="148" t="s">
        <v>628</v>
      </c>
      <c r="E31" s="132" t="s">
        <v>447</v>
      </c>
      <c r="F31" s="133"/>
      <c r="G31" s="126"/>
    </row>
    <row r="32" spans="1:7">
      <c r="A32" s="126"/>
      <c r="B32" s="132">
        <v>30</v>
      </c>
      <c r="C32" s="133"/>
      <c r="D32" s="133"/>
      <c r="E32" s="132"/>
      <c r="F32" s="133"/>
      <c r="G32" s="126"/>
    </row>
    <row r="33" spans="1:7">
      <c r="A33" s="126"/>
      <c r="B33" s="132">
        <v>31</v>
      </c>
      <c r="C33" s="133"/>
      <c r="D33" s="133"/>
      <c r="E33" s="132"/>
      <c r="F33" s="133"/>
      <c r="G33" s="126"/>
    </row>
    <row r="34" spans="1:7">
      <c r="A34" s="126"/>
      <c r="B34" s="132">
        <v>32</v>
      </c>
      <c r="C34" s="133"/>
      <c r="D34" s="133"/>
      <c r="E34" s="132"/>
      <c r="F34" s="133"/>
      <c r="G34" s="126"/>
    </row>
    <row r="35" spans="1:7">
      <c r="A35" s="126"/>
      <c r="B35" s="132">
        <v>33</v>
      </c>
      <c r="C35" s="133"/>
      <c r="D35" s="133"/>
      <c r="E35" s="132"/>
      <c r="F35" s="133"/>
      <c r="G35" s="126"/>
    </row>
    <row r="36" spans="1:7">
      <c r="A36" s="126"/>
      <c r="B36" s="132">
        <v>34</v>
      </c>
      <c r="C36" s="133"/>
      <c r="D36" s="133"/>
      <c r="E36" s="132"/>
      <c r="F36" s="133"/>
      <c r="G36" s="126"/>
    </row>
    <row r="37" spans="1:7">
      <c r="A37" s="126"/>
      <c r="B37" s="132">
        <v>35</v>
      </c>
      <c r="C37" s="133"/>
      <c r="D37" s="133"/>
      <c r="E37" s="132"/>
      <c r="F37" s="133"/>
      <c r="G37" s="126"/>
    </row>
    <row r="38" spans="1:7">
      <c r="A38" s="126"/>
      <c r="B38" s="132">
        <v>36</v>
      </c>
      <c r="C38" s="133"/>
      <c r="D38" s="133"/>
      <c r="E38" s="132"/>
      <c r="F38" s="133"/>
      <c r="G38" s="126"/>
    </row>
    <row r="39" spans="1:7">
      <c r="A39" s="126"/>
      <c r="B39" s="127"/>
      <c r="C39" s="126"/>
      <c r="D39" s="126"/>
      <c r="E39" s="127"/>
      <c r="F39" s="126"/>
      <c r="G39" s="126"/>
    </row>
  </sheetData>
  <hyperlinks>
    <hyperlink ref="D3" r:id="rId1" location="gid=890115137" xr:uid="{00000000-0004-0000-0A00-000000000000}"/>
    <hyperlink ref="F3" r:id="rId2" xr:uid="{00000000-0004-0000-0A00-000001000000}"/>
    <hyperlink ref="D4" r:id="rId3" location="gid=632260814" xr:uid="{00000000-0004-0000-0A00-000002000000}"/>
    <hyperlink ref="D5" r:id="rId4" location="gid=1998486256" xr:uid="{00000000-0004-0000-0A00-000003000000}"/>
    <hyperlink ref="D6" r:id="rId5" location="gid=1508291189" xr:uid="{00000000-0004-0000-0A00-000004000000}"/>
    <hyperlink ref="D7" r:id="rId6" location="gid=571793051" xr:uid="{00000000-0004-0000-0A00-000005000000}"/>
    <hyperlink ref="D8" r:id="rId7" location="gid=319976344" xr:uid="{00000000-0004-0000-0A00-000006000000}"/>
    <hyperlink ref="D9" r:id="rId8" location="bookmark=id.gjdgxs" xr:uid="{00000000-0004-0000-0A00-000007000000}"/>
    <hyperlink ref="D10" r:id="rId9" xr:uid="{00000000-0004-0000-0A00-000008000000}"/>
    <hyperlink ref="D11" r:id="rId10" xr:uid="{00000000-0004-0000-0A00-000009000000}"/>
    <hyperlink ref="D12" r:id="rId11" xr:uid="{00000000-0004-0000-0A00-00000A000000}"/>
    <hyperlink ref="D13" r:id="rId12" xr:uid="{00000000-0004-0000-0A00-00000B000000}"/>
    <hyperlink ref="D14" r:id="rId13" location="gid=2034997504" xr:uid="{00000000-0004-0000-0A00-00000C000000}"/>
    <hyperlink ref="D15" r:id="rId14" xr:uid="{00000000-0004-0000-0A00-00000D000000}"/>
    <hyperlink ref="D16" r:id="rId15" location="gid=1256718454" xr:uid="{00000000-0004-0000-0A00-00000E000000}"/>
    <hyperlink ref="D17" r:id="rId16" location="gid=271591273" xr:uid="{00000000-0004-0000-0A00-00000F000000}"/>
    <hyperlink ref="D18" r:id="rId17" location="/login" xr:uid="{00000000-0004-0000-0A00-000010000000}"/>
    <hyperlink ref="D19" r:id="rId18" xr:uid="{00000000-0004-0000-0A00-000011000000}"/>
    <hyperlink ref="D20" r:id="rId19" location="gid=2091463278" xr:uid="{00000000-0004-0000-0A00-000012000000}"/>
    <hyperlink ref="D21" r:id="rId20" xr:uid="{00000000-0004-0000-0A00-000013000000}"/>
    <hyperlink ref="D22" r:id="rId21" xr:uid="{00000000-0004-0000-0A00-000014000000}"/>
    <hyperlink ref="D23" r:id="rId22" xr:uid="{00000000-0004-0000-0A00-000015000000}"/>
    <hyperlink ref="D24" r:id="rId23" location="gid=149599313" xr:uid="{00000000-0004-0000-0A00-000016000000}"/>
    <hyperlink ref="D25" r:id="rId24" location="gid=942567622" xr:uid="{00000000-0004-0000-0A00-000017000000}"/>
    <hyperlink ref="D26" r:id="rId25" xr:uid="{00000000-0004-0000-0A00-000018000000}"/>
    <hyperlink ref="D27" r:id="rId26" xr:uid="{00000000-0004-0000-0A00-000019000000}"/>
    <hyperlink ref="D28" r:id="rId27" xr:uid="{00000000-0004-0000-0A00-00001A000000}"/>
    <hyperlink ref="D29" r:id="rId28" xr:uid="{00000000-0004-0000-0A00-00001B000000}"/>
    <hyperlink ref="D30" r:id="rId29" xr:uid="{00000000-0004-0000-0A00-00001C000000}"/>
    <hyperlink ref="D31" r:id="rId30" xr:uid="{00000000-0004-0000-0A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JD</vt:lpstr>
      <vt:lpstr>TT xe nội bộ</vt:lpstr>
      <vt:lpstr>TT Tài xế</vt:lpstr>
      <vt:lpstr>Gói dịch vụ</vt:lpstr>
      <vt:lpstr>Công việc theo timeline</vt:lpstr>
      <vt:lpstr>Tasks</vt:lpstr>
      <vt:lpstr>Quy trình Điều vận (Cũ)</vt:lpstr>
      <vt:lpstr>Quy trình Điều vận (Mới)</vt:lpstr>
      <vt:lpstr>Quy trình D2D</vt:lpstr>
      <vt:lpstr>DS NCC</vt:lpstr>
      <vt:lpstr>Tổng hợp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Quang Beos</cp:lastModifiedBy>
  <dcterms:modified xsi:type="dcterms:W3CDTF">2026-09-29T07:31:18Z</dcterms:modified>
</cp:coreProperties>
</file>