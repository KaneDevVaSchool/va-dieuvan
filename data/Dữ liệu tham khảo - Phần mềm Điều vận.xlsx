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hằng ngày " sheetId="1" r:id="rId5"/>
    <sheet state="visible" name="Nội dung Checklist" sheetId="2" r:id="rId6"/>
    <sheet state="visible" name="Phiếu đề xuất" sheetId="3" r:id="rId7"/>
    <sheet state="visible" name="Bảng kê không hóa đơn" sheetId="4" r:id="rId8"/>
    <sheet state="visible" name="Đề nghị thanh toán" sheetId="5" r:id="rId9"/>
  </sheets>
  <definedNames/>
  <calcPr/>
</workbook>
</file>

<file path=xl/sharedStrings.xml><?xml version="1.0" encoding="utf-8"?>
<sst xmlns="http://schemas.openxmlformats.org/spreadsheetml/2006/main" count="742" uniqueCount="330">
  <si>
    <t>Nhóm</t>
  </si>
  <si>
    <t>Hạng mục</t>
  </si>
  <si>
    <t>Yêu cầu/Diễn giải</t>
  </si>
  <si>
    <t>Mức độ (Critical/Non-critical)</t>
  </si>
  <si>
    <t>Hành động khi NG</t>
  </si>
  <si>
    <t>OK/NG</t>
  </si>
  <si>
    <t>Ghi chú</t>
  </si>
  <si>
    <t>Ảnh minh chứng (link)</t>
  </si>
  <si>
    <t>Người kiểm</t>
  </si>
  <si>
    <t>Giờ kiểm</t>
  </si>
  <si>
    <t>Thông tin chuyến</t>
  </si>
  <si>
    <t>Ngày</t>
  </si>
  <si>
    <t>Điền theo định dạng dd/mm/yyyy</t>
  </si>
  <si>
    <t>Non-critical</t>
  </si>
  <si>
    <t>Bổ sung thông tin trước khi chạy</t>
  </si>
  <si>
    <t>…</t>
  </si>
  <si>
    <t>Cơ sở/Tuyến</t>
  </si>
  <si>
    <t>Ghi rõ cơ sở và mã/ tên tuyến</t>
  </si>
  <si>
    <t>Biển số xe</t>
  </si>
  <si>
    <t>Ghi đúng biển số xe thực hiện chuyến</t>
  </si>
  <si>
    <t>Critical</t>
  </si>
  <si>
    <t>Không khởi hành; báo điều hành xác nhận xe đúng tuyến</t>
  </si>
  <si>
    <r>
      <rPr>
        <rFont val="Times New Roman"/>
        <color theme="1"/>
        <sz val="13.0"/>
      </rPr>
      <t xml:space="preserve">Mẫu số: </t>
    </r>
    <r>
      <rPr>
        <rFont val="Times New Roman"/>
        <b/>
        <color theme="1"/>
        <sz val="13.0"/>
      </rPr>
      <t>01/TNDN</t>
    </r>
  </si>
  <si>
    <t>Giờ xuất bến dự kiến</t>
  </si>
  <si>
    <t>Ghi giờ khởi hành theo kế hoạch</t>
  </si>
  <si>
    <t>Tài xế (Họ tên/SĐT)</t>
  </si>
  <si>
    <t>Ghi họ tên + SĐT tài xế trực tiếp</t>
  </si>
  <si>
    <t>Không khởi hành; xác nhận đúng tài xế phân công</t>
  </si>
  <si>
    <t>HỆ THỐNG TRƯỜNG VIỆT MỸ</t>
  </si>
  <si>
    <t>(Ban hành kèm theo Thông tư số 78/2014/TT-BTC của Bộ Tài chính)</t>
  </si>
  <si>
    <t>Bảo mẫu/Giám sát</t>
  </si>
  <si>
    <t>Ghi họ tên bảo mẫu/giám sát đi cùng (nếu có)</t>
  </si>
  <si>
    <t>Bổ sung; báo điều hành nếu thiếu người theo quy định</t>
  </si>
  <si>
    <t xml:space="preserve">Kí hiệu: </t>
  </si>
  <si>
    <t>ĐỀ NGHỊ MUA HÀNG HÓA
DỊCH VỤ</t>
  </si>
  <si>
    <t>An toàn vận hành</t>
  </si>
  <si>
    <t>Phanh</t>
  </si>
  <si>
    <t>Thử phanh chân/phanh tay, không trượt, không bất thường</t>
  </si>
  <si>
    <t>Dừng xe/đổi xe; gọi kỹ thuật/cứu hộ</t>
  </si>
  <si>
    <t>Lốp</t>
  </si>
  <si>
    <t>Áp suất phù hợp, độ mòn an toàn, không nứt/rách/phồng</t>
  </si>
  <si>
    <t>Thay lốp/sửa; không khởi hành nếu không khắc phục</t>
  </si>
  <si>
    <t>BẢNG KÊ THU MUA HÀNG HÓA, DỊCH VỤ</t>
  </si>
  <si>
    <t>Kí hiệu: BM.01/MH.QT.01</t>
  </si>
  <si>
    <t>MUA VÀO KHÔNG CÓ HÓA ĐƠN</t>
  </si>
  <si>
    <t>PHÒNG MUA HÀNG</t>
  </si>
  <si>
    <t>Bánh dự phòng &amp; dụng cụ</t>
  </si>
  <si>
    <t>Nếu xe có trang bị: còn đủ bánh + kích + dụng cụ</t>
  </si>
  <si>
    <t>Bổ sung/khắc phục trước ca tiếp theo; báo điều hành</t>
  </si>
  <si>
    <t>Ngày hiệu lực:</t>
  </si>
  <si>
    <t>Ngày ban hành:</t>
  </si>
  <si>
    <t>PHIẾU KIỂM TRA AN TOÀN XE (DAILY)</t>
  </si>
  <si>
    <t>Đèn pha/cốt</t>
  </si>
  <si>
    <t>Bật thử, sáng đều, không chập chờn</t>
  </si>
  <si>
    <t>Sửa ngay/đổi xe nếu không khắc phục kịp</t>
  </si>
  <si>
    <t>Lần ban hành: 01</t>
  </si>
  <si>
    <t>Đèn xi nhan/đèn phanh</t>
  </si>
  <si>
    <t>Bật thử, hoạt động đủ 2 bên</t>
  </si>
  <si>
    <t>Sửa ngay/đổi xe; không khởi hành nếu không đạt</t>
  </si>
  <si>
    <t>Đèn cảnh báo khẩn cấp (hazard)</t>
  </si>
  <si>
    <t>Bật thử, nháy đồng đều</t>
  </si>
  <si>
    <t xml:space="preserve">Ngày kiểm tra: </t>
  </si>
  <si>
    <t>A. Người đề xuất</t>
  </si>
  <si>
    <t>Còi</t>
  </si>
  <si>
    <t>Bấm thử, âm lượng rõ</t>
  </si>
  <si>
    <t>Gương chiếu hậu</t>
  </si>
  <si>
    <t>Chỉnh đúng tầm nhìn, không nứt/vỡ, quan sát rõ</t>
  </si>
  <si>
    <t>Sửa/đổi gương; không khởi hành nếu không đảm bảo tầm nhìn</t>
  </si>
  <si>
    <t>Địa điểm kiểm tra:</t>
  </si>
  <si>
    <t>Cần gạt mưa</t>
  </si>
  <si>
    <t>Bật thử, gạt sạch, không kẹt</t>
  </si>
  <si>
    <t>Sửa/đổi cần gạt; không khởi hành khi trời mưa nếu không đạt</t>
  </si>
  <si>
    <t>Họ và tên Tài xế</t>
  </si>
  <si>
    <t>Nước rửa kính</t>
  </si>
  <si>
    <t>Biển số xe:</t>
  </si>
  <si>
    <t>Đủ nước, phun tốt</t>
  </si>
  <si>
    <t>a.1 Họ và tên:</t>
  </si>
  <si>
    <t>Bổ sung trong ca; ưu tiên hoàn tất trước khởi hành</t>
  </si>
  <si>
    <t>- Tên doanh nghiệp: Công ty Cổ phần Văn hóa giáo dục Việt Mỹ</t>
  </si>
  <si>
    <t>Mục đích kiểm tra: Đảm bảo an toàn và tuân thủ quy định Bộ GTVT.</t>
  </si>
  <si>
    <t>Cửa lên/xuống</t>
  </si>
  <si>
    <t>Đóng mở trơn tru, chốt an toàn hoạt động</t>
  </si>
  <si>
    <t>Dừng xe/đổi xe; sửa ngay</t>
  </si>
  <si>
    <t>Bùi Nguyễn Khánh Linh</t>
  </si>
  <si>
    <t xml:space="preserve">Nội dung kiểm tra: </t>
  </si>
  <si>
    <t>Dây an toàn</t>
  </si>
  <si>
    <t>Kiểm tra ngẫu nhiên 3–5 vị trí: khóa cài chắc, dây kéo/nhả OK</t>
  </si>
  <si>
    <t>Không nhận HS ở vị trí dây lỗi; ưu tiên đổi xe/khắc phục trước chuyến</t>
  </si>
  <si>
    <t>- Mã số thuế : 0305072778</t>
  </si>
  <si>
    <t>STT</t>
  </si>
  <si>
    <t>Bình chữa cháy</t>
  </si>
  <si>
    <t>Còn hạn, niêm phong OK, đặt đúng vị trí, dễ lấy</t>
  </si>
  <si>
    <t>Bổ sung/đổi bình trước khởi hành; không khởi hành nếu thiếu/ hết hạn</t>
  </si>
  <si>
    <t>- Địa chỉ: 252 Lạc Long Quân, Phường Bình Thới, Thành phố Hồ Chí Minh, Việt Nam</t>
  </si>
  <si>
    <t>Hạng mục</t>
  </si>
  <si>
    <t>Búa thoát hiểm/thiết bị thoát hiểm</t>
  </si>
  <si>
    <t>Đủ số lượng, đúng vị trí, không hư hỏng</t>
  </si>
  <si>
    <t>Nội dung kiểm tra</t>
  </si>
  <si>
    <t>Bổ sung/khắc phục trước khởi hành; không khởi hành nếu thiếu</t>
  </si>
  <si>
    <t>- Địa chỉ nơi tổ chức thu mua: Phòng Mua hàng</t>
  </si>
  <si>
    <t>a.2 Email nhân viên:</t>
  </si>
  <si>
    <t>Hộp sơ cứu (nếu áp dụng)</t>
  </si>
  <si>
    <t>Đủ vật tư cơ bản, còn hạn, dễ truy cập</t>
  </si>
  <si>
    <t>Bổ sung trong ngày; báo điều hành</t>
  </si>
  <si>
    <t xml:space="preserve">- Người phụ trách thu mua: </t>
  </si>
  <si>
    <t>linhbnk@vaschools.edu.vn</t>
  </si>
  <si>
    <t>Yêu cầu/Quy định</t>
  </si>
  <si>
    <t>Đạt (✓)</t>
  </si>
  <si>
    <t>Không đạt (✗)</t>
  </si>
  <si>
    <t>Tam giác phản quang/đèn cảnh báo dừng xe</t>
  </si>
  <si>
    <t>Đầy đủ, sẵn sàng sử dụng</t>
  </si>
  <si>
    <t>Bổ sung trước khởi hành; không khởi hành nếu thiếu</t>
  </si>
  <si>
    <t>Camera/thiết bị giám sát (nếu có)</t>
  </si>
  <si>
    <t>Bật nguồn, ghi hình OK (kiểm tra trạng thái)</t>
  </si>
  <si>
    <t>Báo điều hành; xử lý thiết bị/đổi xe theo quy định tuyến</t>
  </si>
  <si>
    <t>Tài xế - giấy tờ cá nhân</t>
  </si>
  <si>
    <t>Kỹ thuật - giảm hỏng đột xuất</t>
  </si>
  <si>
    <t>Nhiên liệu</t>
  </si>
  <si>
    <t>Đạt mức tối thiểu trước chuyến (khuyến nghị ≥ 1/2 bình)</t>
  </si>
  <si>
    <t>Đổ bổ sung ngay; không khởi hành nếu dưới ngưỡng</t>
  </si>
  <si>
    <t>Ắc quy/đề</t>
  </si>
  <si>
    <t>Đề nổ ổn định, không báo lỗi điện, không đề yếu</t>
  </si>
  <si>
    <t>Báo kỹ thuật/đổi xe; chuẩn bị bộ kích bình nếu cần</t>
  </si>
  <si>
    <t>GPLX</t>
  </si>
  <si>
    <t>Nhiệt độ máy</t>
  </si>
  <si>
    <t>Ổn định, không cảnh báo quá nhiệt sau khi nổ máy</t>
  </si>
  <si>
    <t>Ngày tháng năm mua hàng</t>
  </si>
  <si>
    <t>Dừng xe; kiểm tra nước làm mát/kỹ thuật; đổi xe nếu cần</t>
  </si>
  <si>
    <t>Đúng hạng, còn hiệu lực (Nam: Dưới 58 tuổi / Nữ: Dưới 56 tuổi)</t>
  </si>
  <si>
    <t>a.3 Số điện thoại:</t>
  </si>
  <si>
    <t>Rò rỉ dưới gầm</t>
  </si>
  <si>
    <t>Không có rò rỉ dầu/nước</t>
  </si>
  <si>
    <t>Dừng xe; gọi kỹ thuật; không khởi hành</t>
  </si>
  <si>
    <t>Người bán</t>
  </si>
  <si>
    <t>Dầu máy/nước làm mát</t>
  </si>
  <si>
    <t>Mức phù hợp theo tiêu chuẩn xe</t>
  </si>
  <si>
    <t>0856 083 386</t>
  </si>
  <si>
    <t>Bổ sung/khắc phục; không khởi hành nếu thiếu nghiêm trọng</t>
  </si>
  <si>
    <t>CCCD/định danh</t>
  </si>
  <si>
    <t>Điều hòa</t>
  </si>
  <si>
    <t>Hoạt động ổn định, đủ mát, không mùi lạ</t>
  </si>
  <si>
    <t>Báo điều hành; sửa theo lịch; ưu tiên xe đạt chuẩn cho HS</t>
  </si>
  <si>
    <t>Còn hiệu lực, mang theo khi công tác</t>
  </si>
  <si>
    <t xml:space="preserve">a.4 Đơn vị: </t>
  </si>
  <si>
    <t>Âm thanh/mùi bất thường</t>
  </si>
  <si>
    <t>Giấy khám sức khỏe</t>
  </si>
  <si>
    <t>Không có tiếng rít/gõ, không mùi khét</t>
  </si>
  <si>
    <t>Dừng xe; báo điều hành/kỹ thuật; đổi xe</t>
  </si>
  <si>
    <t>Hàng hóa mua vào</t>
  </si>
  <si>
    <t>Còn hiệu lực theo quy định DN/luật (nếu áp dụng)</t>
  </si>
  <si>
    <t>Vệ sinh - phục vụ</t>
  </si>
  <si>
    <t>Vệ sinh khoang xe</t>
  </si>
  <si>
    <t>Sạch sẽ, không mùi khó chịu</t>
  </si>
  <si>
    <t>Vệ sinh nhanh trước đón HS; nếu không đạt báo điều hành đổi xe</t>
  </si>
  <si>
    <t>Xe - giấy tờ bắt buộc</t>
  </si>
  <si>
    <t>Phòng Mua hàng</t>
  </si>
  <si>
    <t>Đăng ký xe</t>
  </si>
  <si>
    <t>An toàn khoang xe</t>
  </si>
  <si>
    <t>Không vật sắc nhọn/rác; ghế khô ráo</t>
  </si>
  <si>
    <t>Dọn ngay; nếu không đảm bảo an toàn thì không khởi hành</t>
  </si>
  <si>
    <t>Bản gốc/bản hợp lệ theo quy định, mang trên xe</t>
  </si>
  <si>
    <t>Tên người bán</t>
  </si>
  <si>
    <t>Lối đi &amp; cửa thoát hiểm</t>
  </si>
  <si>
    <t>Thông thoáng, không chắn lối/cửa thoát hiểm</t>
  </si>
  <si>
    <t>Đăng kiểm</t>
  </si>
  <si>
    <t>Dọn ngay; không khởi hành nếu còn chắn</t>
  </si>
  <si>
    <t>Địa chỉ</t>
  </si>
  <si>
    <t>Còn hiệu lực</t>
  </si>
  <si>
    <t>Tên mặt hàng</t>
  </si>
  <si>
    <t>Hồ sơ hành trình</t>
  </si>
  <si>
    <t>Danh sách HS/tuyến/điểm đón</t>
  </si>
  <si>
    <t>Có bản mới nhất (giấy/app), dễ đối chiếu</t>
  </si>
  <si>
    <t>Không khởi hành; yêu cầu điều hành cập nhật danh sách</t>
  </si>
  <si>
    <t>Bảo hiểm TNDS</t>
  </si>
  <si>
    <t>Số lượng</t>
  </si>
  <si>
    <t>Bảo hiểm bắt buộc còn hiệu lực</t>
  </si>
  <si>
    <t>Đơn giá</t>
  </si>
  <si>
    <t>Bảo hiểm vật chất xe</t>
  </si>
  <si>
    <t>Liên lạc khẩn</t>
  </si>
  <si>
    <t>Có hotline điều hành + đầu mối trường + bảo mẫu</t>
  </si>
  <si>
    <t>Không khởi hành; bổ sung ngay thông tin liên hệ</t>
  </si>
  <si>
    <t>B. Mục đích sử dụng</t>
  </si>
  <si>
    <t>Tổng giá trị thanh toán</t>
  </si>
  <si>
    <t>Phương án dự phòng</t>
  </si>
  <si>
    <t>Có thông tin xe thay thế/cứu hộ và điều kiện kích hoạt</t>
  </si>
  <si>
    <t>Bổ sung; nhắc điều hành cập nhật định kỳ</t>
  </si>
  <si>
    <t>Kết luận</t>
  </si>
  <si>
    <t>Đủ điều kiện khởi hành</t>
  </si>
  <si>
    <t>Tất cả mục Critical phải OK</t>
  </si>
  <si>
    <t>Nếu có 1 mục Critical = NG → không khởi hành</t>
  </si>
  <si>
    <t>b.1 Mục đích sử dụng:</t>
  </si>
  <si>
    <t>Thịnh Ký</t>
  </si>
  <si>
    <t>Không đủ điều kiện</t>
  </si>
  <si>
    <t>Bảo hiểm vật chất, LPX/NNTX, TNDS bắt buộc xe 51M 23494 (Van)</t>
  </si>
  <si>
    <t>806 Âu Cơ, Phường Tân Bình, TP HCM</t>
  </si>
  <si>
    <t>Chọn NG và ghi rõ lý do + phương án (đổi xe/sửa/báo điều hành)</t>
  </si>
  <si>
    <t>Kích hoạt phương án dự phòng/đổi xe ngay</t>
  </si>
  <si>
    <t>Phí ăn sáng</t>
  </si>
  <si>
    <t xml:space="preserve">b.2 Căn cứ đề xuất: </t>
  </si>
  <si>
    <t>Đúng hạng xe, còn hiệu lực</t>
  </si>
  <si>
    <t>Không phân công lái; thay tài xế hợp lệ</t>
  </si>
  <si>
    <t>Còn hiệu lực, mang theo khi làm nhiệm vụ</t>
  </si>
  <si>
    <t>Bổ sung ngay trong ngày; lưu bản đối chiếu nội bộ (nếu có)</t>
  </si>
  <si>
    <t>Tài xế - sức khỏe</t>
  </si>
  <si>
    <t>Không phân công; bổ sung khám/giấy tờ trước khi chạy</t>
  </si>
  <si>
    <t>C. Thời gian</t>
  </si>
  <si>
    <t>Không khởi hành; bổ sung giấy tờ hợp lệ</t>
  </si>
  <si>
    <t>Phí ăn trưa</t>
  </si>
  <si>
    <t>Không khởi hành; đưa xe đi kiểm định/đổi xe</t>
  </si>
  <si>
    <t xml:space="preserve">c.1 Ngày đề xuất : </t>
  </si>
  <si>
    <t>Không khởi hành; bổ sung/ gia hạn bảo hiểm</t>
  </si>
  <si>
    <t>Xe - bảo hiểm (khuyến nghị)</t>
  </si>
  <si>
    <t>Nếu có: còn hiệu lực</t>
  </si>
  <si>
    <t>Bổ sung theo chính sách; báo cáo kế hoạch mua/gia hạn</t>
  </si>
  <si>
    <t>Lưu ý từ ngày P. Mua Hàng nhận được đề xuất đến khi giao hàng cần tối thiều 05 - 07 ngày làm việc (ngoại trừ các mặt hàng cần gia công sản xuất sẽ được thông báo số ngày cụ thể). Các trường hợp yêu cầu ít hơn số ngày trên được xem là gấp cần ghi lý do phía bên dưới.</t>
  </si>
  <si>
    <t>Bảo hiểm tai nạn hành khách</t>
  </si>
  <si>
    <t>Tài xế - đào tạo</t>
  </si>
  <si>
    <t>Chứng nhận PCCC</t>
  </si>
  <si>
    <t>Nếu DN yêu cầu: chứng chỉ hợp lệ</t>
  </si>
  <si>
    <t>Không phân công tuyến HS; hoàn tất đào tạo trước khi chạy</t>
  </si>
  <si>
    <t>Chứng nhận sơ cứu/y tế cơ bản</t>
  </si>
  <si>
    <t>Tổng cộng</t>
  </si>
  <si>
    <t>Lên lịch đào tạo bổ sung; báo cáo tiến độ</t>
  </si>
  <si>
    <r>
      <rPr>
        <rFont val="Times New Roman"/>
        <b/>
        <i/>
        <color theme="1"/>
        <sz val="13.0"/>
      </rPr>
      <t xml:space="preserve">c.2 </t>
    </r>
    <r>
      <rPr>
        <rFont val="Times New Roman"/>
        <b/>
        <i val="0"/>
        <color theme="1"/>
        <sz val="13.0"/>
      </rPr>
      <t xml:space="preserve">Ngày cần nhận hàng hóa/sử dụng dịch vụ : </t>
    </r>
  </si>
  <si>
    <t>Đào tạo vận chuyển học sinh</t>
  </si>
  <si>
    <t>Xác nhận đã được đào tạo quy trình/ứng xử/an toàn</t>
  </si>
  <si>
    <t>Vận tải (nếu thuộc diện)</t>
  </si>
  <si>
    <t>Phù hiệu/biển hiệu</t>
  </si>
  <si>
    <t>Đúng loại hình vận tải, còn hiệu lực/đúng quy định</t>
  </si>
  <si>
    <t>Không khởi hành; bổ sung phù hiệu/đổi xe đủ điều kiện</t>
  </si>
  <si>
    <t>Vận hành chuyến</t>
  </si>
  <si>
    <t>Lệnh vận chuyển/giấy điều xe/nhật trình</t>
  </si>
  <si>
    <t>Khớp tuyến/ngày/chuyến, theo quy định đơn vị</t>
  </si>
  <si>
    <t>Bổ sung trước khi chạy; lưu bản điện tử nếu áp dụng</t>
  </si>
  <si>
    <t>Gấp:</t>
  </si>
  <si>
    <t>Checklist pre-trip</t>
  </si>
  <si>
    <t>Đã tick đầy đủ và ký trước khi xuất bến</t>
  </si>
  <si>
    <t>Không khởi hành; hoàn tất checklist</t>
  </si>
  <si>
    <t>Danh sách HS &amp; điểm đón</t>
  </si>
  <si>
    <t>Bản mới nhất, khớp tuyến</t>
  </si>
  <si>
    <t>Không khởi hành; cập nhật danh sách từ điều hành</t>
  </si>
  <si>
    <t>Đầy đủ, hoạt động tốt, sẵn sàng sử dụng</t>
  </si>
  <si>
    <t xml:space="preserve">c.3 Ngày P. MH nhận đề xuất: </t>
  </si>
  <si>
    <t xml:space="preserve">Tổng giá trị hàng hóa mua vào: </t>
  </si>
  <si>
    <t>Kỹ thuật</t>
  </si>
  <si>
    <t>Hotline điều hành/cứu hộ</t>
  </si>
  <si>
    <t>Ghi rõ và dễ truy cập khi cần</t>
  </si>
  <si>
    <t>Bổ sung ngay; không khởi hành nếu thiếu đầu mối liên lạc</t>
  </si>
  <si>
    <t>D. Khu vực/ đối tượng phân bổ hàng hóa</t>
  </si>
  <si>
    <t>d.1</t>
  </si>
  <si>
    <t>Đối tượng sử dụng:</t>
  </si>
  <si>
    <t>P. Mua Hàng</t>
  </si>
  <si>
    <t>Không có rò rỉ dầu/nước sau khi nổ máy và chờ 1–2 phút</t>
  </si>
  <si>
    <t xml:space="preserve">Biển số xe: </t>
  </si>
  <si>
    <t>51M 23494</t>
  </si>
  <si>
    <t>Mức phù hợp theo tiêu chuẩn xe (kiểm tra nhanh)</t>
  </si>
  <si>
    <t>d.2</t>
  </si>
  <si>
    <r>
      <rPr>
        <rFont val="Times New Roman"/>
        <b/>
        <color theme="1"/>
        <sz val="13.0"/>
      </rPr>
      <t> Người lập bảng kê</t>
    </r>
  </si>
  <si>
    <t>Phó Tổng Giám đốc</t>
  </si>
  <si>
    <r>
      <rPr>
        <rFont val="Times New Roman"/>
        <b/>
        <i val="0"/>
        <color theme="1"/>
        <sz val="13.0"/>
      </rPr>
      <t xml:space="preserve">Khu vực phân bổ </t>
    </r>
    <r>
      <rPr>
        <rFont val="Times New Roman"/>
        <b/>
        <i val="0"/>
        <color theme="1"/>
        <sz val="13.0"/>
        <u/>
      </rPr>
      <t>sử dụng chung</t>
    </r>
    <r>
      <rPr>
        <rFont val="Times New Roman"/>
        <b/>
        <i/>
        <color theme="1"/>
        <sz val="13.0"/>
        <u/>
      </rPr>
      <t xml:space="preserve"> </t>
    </r>
    <r>
      <rPr>
        <rFont val="Times New Roman"/>
        <b val="0"/>
        <i/>
        <color theme="1"/>
        <sz val="13.0"/>
        <u/>
      </rPr>
      <t>(</t>
    </r>
    <r>
      <rPr>
        <rFont val="Times New Roman"/>
        <b val="0"/>
        <i/>
        <color theme="1"/>
        <sz val="13.0"/>
      </rPr>
      <t>nếu tài sản được trang bị sử chung)</t>
    </r>
    <r>
      <rPr>
        <rFont val="Times New Roman"/>
        <b/>
        <i/>
        <color theme="1"/>
        <sz val="13.0"/>
      </rPr>
      <t xml:space="preserve">: </t>
    </r>
  </si>
  <si>
    <t>Không có tiếng rít/gõ, không mùi khét; nếu có phải báo điều hành</t>
  </si>
  <si>
    <t>Vệ sinh</t>
  </si>
  <si>
    <t>d.3</t>
  </si>
  <si>
    <t>Nhân sự nhận bàn giao tài sản:</t>
  </si>
  <si>
    <t>Không có vật sắc nhọn/rác; ghế khô ráo</t>
  </si>
  <si>
    <t>Hồ sơ</t>
  </si>
  <si>
    <t xml:space="preserve">Họ tên: </t>
  </si>
  <si>
    <t>Ghi chú (nếu có):</t>
  </si>
  <si>
    <t>Nguyễn Ngọc Hiển</t>
  </si>
  <si>
    <t xml:space="preserve">Sau khi kiểm tra, tôi xác nhận xe ................................. đủ điều kiện lưu thông trên đường và đảm bảo an toàn khi vận chuyển học sinh. </t>
  </si>
  <si>
    <t>Ghi chú:</t>
  </si>
  <si>
    <t>Người Kiểm tra (nếu có)</t>
  </si>
  <si>
    <t>Tài xế Xác nhận</t>
  </si>
  <si>
    <t xml:space="preserve">Email nhân viên: </t>
  </si>
  <si>
    <t>- Căn cứ vào số thực tế các mặt hàng trên mà đơn vị mua của người bán không có hóa đơn, lập bảng kê khai theo thứ tự thời gian mua hàng, doanh nghiệp ghi đầy đủ các chỉ tiêu trên bảng kê, tổng hợp bảng kê hàng tháng. Hàng hóa mua vào lập theo bảng kê này được căn cứ vào chứng từ mua bán giữa người bán và người mua lập trong đó ghi rõ số lượng, giá trị các mặt hàng mua, ngày, tháng mua, địa chỉ, số CMTND của người bán và ký nhận của bên bán và bên mua.</t>
  </si>
  <si>
    <t>(ký, ghi rõ họ tên)</t>
  </si>
  <si>
    <t>E. NỘI DUNG ĐỀ XUẤT HÀNG HÓA - DỊCH VỤ</t>
  </si>
  <si>
    <t>e.1. Nội Dung đề xuất chi tiết:</t>
  </si>
  <si>
    <t xml:space="preserve">Danh mục </t>
  </si>
  <si>
    <t>Diễn giải chi tiết</t>
  </si>
  <si>
    <t>Mã Hồ sơ</t>
  </si>
  <si>
    <t>Đvt</t>
  </si>
  <si>
    <t>SL</t>
  </si>
  <si>
    <t>Đơn giá (+VAT)</t>
  </si>
  <si>
    <t>Thành tiền</t>
  </si>
  <si>
    <t xml:space="preserve">             BM03-PKT-QT-TUTT</t>
  </si>
  <si>
    <t xml:space="preserve">Bảo hiểm vật chất, LPX/NNTX, TNDS bắt buộc </t>
  </si>
  <si>
    <r>
      <rPr>
        <rFont val="Times New Roman"/>
        <color theme="1"/>
        <sz val="13.0"/>
      </rPr>
      <t xml:space="preserve">Xe 51M 23494 (Toyota)
</t>
    </r>
    <r>
      <rPr>
        <rFont val="Times New Roman"/>
        <i/>
        <color theme="1"/>
        <sz val="13.0"/>
      </rPr>
      <t>Thời hạn bảo hiểm: 08g03 ngày 08/09/2026 - 08g02 ngày 08/09/2027</t>
    </r>
  </si>
  <si>
    <t>Đơn vị</t>
  </si>
  <si>
    <t>Gói</t>
  </si>
  <si>
    <t>Bộ phận:</t>
  </si>
  <si>
    <t>GIẤY ĐỀ NGHỊ ................................</t>
  </si>
  <si>
    <r>
      <rPr>
        <rFont val="Times New Roman"/>
        <color theme="1"/>
        <sz val="13.0"/>
      </rPr>
      <t xml:space="preserve">Xe 51B 51382 (Ford Transit)
</t>
    </r>
    <r>
      <rPr>
        <rFont val="Times New Roman"/>
        <i/>
        <color theme="1"/>
        <sz val="13.0"/>
      </rPr>
      <t>Thời hạn bảo hiểm: 08g02 ngày 22/08/2026 - 08g02 ngày 22/08/2027</t>
    </r>
  </si>
  <si>
    <t>Kính gửi:</t>
  </si>
  <si>
    <t xml:space="preserve">Phòng Kế toán </t>
  </si>
  <si>
    <t xml:space="preserve"> </t>
  </si>
  <si>
    <t>Họ và tên người đề nghị thanh toán:</t>
  </si>
  <si>
    <t xml:space="preserve">  </t>
  </si>
  <si>
    <r>
      <rPr>
        <rFont val="Times New Roman"/>
        <color theme="1"/>
        <sz val="13.0"/>
      </rPr>
      <t xml:space="preserve">Xe 51K 98458 (Xe VF9 HĐQT)
</t>
    </r>
    <r>
      <rPr>
        <rFont val="Times New Roman"/>
        <i/>
        <color theme="1"/>
        <sz val="13.0"/>
      </rPr>
      <t>Thời hạn bảo hiểm: Từ 17g00 ngày 22/08/2026 - 16g59 ngày
22/08/2027</t>
    </r>
  </si>
  <si>
    <t xml:space="preserve">Bộ phận (hoặc địa chỉ):   </t>
  </si>
  <si>
    <t>Nội dung thanh toán:</t>
  </si>
  <si>
    <t>Tổng:</t>
  </si>
  <si>
    <t>Căn cứ theo đề xuất mua hàng:</t>
  </si>
  <si>
    <t xml:space="preserve">Số tiền: </t>
  </si>
  <si>
    <t>Viết bằng chữ:</t>
  </si>
  <si>
    <t>Lưu ý: đơn giá chưa bao gồm chi phí vận chuyển</t>
  </si>
  <si>
    <t>Thời gian thanh toán:</t>
  </si>
  <si>
    <t>Hình thức thanh toán:</t>
  </si>
  <si>
    <t>Nếu chi phí thực tế mua hàng vượt quá 10% thì trình ký lại</t>
  </si>
  <si>
    <t>STK người nhận:</t>
  </si>
  <si>
    <t>Người đề nghị thanh toán</t>
  </si>
  <si>
    <t>F. Phần Xác Nhận Của Các Bên Liên Quan:</t>
  </si>
  <si>
    <t xml:space="preserve"> Trưởng đơn vị</t>
  </si>
  <si>
    <t>P. Kế toán</t>
  </si>
  <si>
    <t>Giám đốc vận hành</t>
  </si>
  <si>
    <t>Trưởng đơn vị đề xuất</t>
  </si>
  <si>
    <t>Tổ trưởng Tài xế</t>
  </si>
  <si>
    <t>Người đề xuất</t>
  </si>
  <si>
    <t>Phạm Thanh Hùng</t>
  </si>
  <si>
    <t>Trần Thị Tình</t>
  </si>
  <si>
    <t>Phó Tổng Giám đốc</t>
  </si>
  <si>
    <t>Bùi Quang Toàn</t>
  </si>
  <si>
    <t>Phạm Thanh Hùng</t>
  </si>
  <si>
    <t>Đỗ Mạnh Hùng</t>
  </si>
  <si>
    <t>Nguyễn Ngọc Hiển</t>
  </si>
  <si>
    <t xml:space="preserve">G. Phần xác nhận của phòng Mua Hàng: </t>
  </si>
  <si>
    <t xml:space="preserve">g.1 Mã đơn hàng (PO) : </t>
  </si>
  <si>
    <t>g.2 Ngày nhận đề nghị (đã được phê duyệt):</t>
  </si>
  <si>
    <t xml:space="preserve">g.3 Nhân viên mua hàng: </t>
  </si>
  <si>
    <t>(ký và ghi rõ họ tên)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</si>
</sst>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d/mm/yyyy"/>
    <numFmt numFmtId="166" formatCode="_(* #,##0_);_(* \(#,##0\);_(* &quot;-&quot;??_);_(@_)"/>
    <numFmt numFmtId="167" formatCode="dd&quot;/&quot;mm"/>
  </numFmts>
  <fonts count="36">
    <font>
      <sz val="10.0"/>
      <color rgb="FF000000"/>
      <name val="Arial"/>
      <scheme val="minor"/>
    </font>
    <font>
      <color theme="1"/>
      <name val="Arial"/>
      <scheme val="minor"/>
    </font>
    <font>
      <b/>
      <sz val="12.0"/>
      <color rgb="FF000000"/>
      <name val="Times New Roman"/>
    </font>
    <font>
      <color theme="1"/>
      <name val="Arial"/>
    </font>
    <font>
      <sz val="11.0"/>
      <color theme="1"/>
      <name val="Times New Roman"/>
    </font>
    <font>
      <sz val="11.0"/>
      <color rgb="FF000000"/>
      <name val="Times New Roman"/>
    </font>
    <font>
      <sz val="8.0"/>
      <color rgb="FF000000"/>
      <name val="Times New Roman"/>
    </font>
    <font/>
    <font>
      <sz val="13.0"/>
      <color theme="1"/>
      <name val="Times New Roman"/>
    </font>
    <font>
      <sz val="10.0"/>
      <color rgb="FF000000"/>
      <name val="Times New Roman"/>
    </font>
    <font>
      <b/>
      <sz val="16.0"/>
      <color theme="1"/>
      <name val="Times New Roman"/>
    </font>
    <font>
      <i/>
      <sz val="13.0"/>
      <color theme="1"/>
      <name val="Times New Roman"/>
    </font>
    <font>
      <sz val="11.0"/>
      <color theme="1"/>
      <name val="Calibri"/>
    </font>
    <font>
      <sz val="12.0"/>
      <color rgb="FF000000"/>
      <name val="Times New Roman"/>
    </font>
    <font>
      <b/>
      <sz val="22.0"/>
      <color theme="1"/>
      <name val="Times New Roman"/>
    </font>
    <font>
      <b/>
      <sz val="21.0"/>
      <color rgb="FF000000"/>
      <name val="Times New Roman"/>
    </font>
    <font>
      <b/>
      <sz val="16.0"/>
      <color rgb="FFFF0000"/>
      <name val="Times New Roman"/>
    </font>
    <font>
      <b/>
      <sz val="8.0"/>
      <color theme="1"/>
      <name val="Times New Roman"/>
    </font>
    <font>
      <b/>
      <sz val="20.0"/>
      <color theme="1"/>
      <name val="Times New Roman"/>
    </font>
    <font>
      <b/>
      <sz val="20.0"/>
      <color rgb="FF000000"/>
      <name val="Times New Roman"/>
    </font>
    <font>
      <b/>
      <sz val="13.0"/>
      <color rgb="FF000000"/>
      <name val="Times New Roman"/>
    </font>
    <font>
      <sz val="13.0"/>
      <color rgb="FF000000"/>
      <name val="Times New Roman"/>
    </font>
    <font>
      <i/>
      <sz val="14.0"/>
      <color theme="1"/>
      <name val="Times New Roman"/>
    </font>
    <font>
      <b/>
      <sz val="12.0"/>
      <color theme="1"/>
      <name val="Times New Roman"/>
    </font>
    <font>
      <i/>
      <sz val="13.0"/>
      <color rgb="FF000000"/>
      <name val="Times New Roman"/>
    </font>
    <font>
      <sz val="12.0"/>
      <color theme="1"/>
      <name val="Times New Roman"/>
    </font>
    <font>
      <b/>
      <sz val="13.0"/>
      <color theme="1"/>
      <name val="Times New Roman"/>
    </font>
    <font>
      <i/>
      <sz val="14.0"/>
      <color rgb="FF000000"/>
      <name val="Times New Roman"/>
    </font>
    <font>
      <b/>
      <sz val="14.0"/>
      <color rgb="FF000000"/>
      <name val="Times New Roman"/>
    </font>
    <font>
      <b/>
      <i/>
      <sz val="13.0"/>
      <color theme="1"/>
      <name val="Times New Roman"/>
    </font>
    <font>
      <sz val="9.0"/>
      <color theme="1"/>
      <name val="Times New Roman"/>
    </font>
    <font>
      <i/>
      <sz val="12.0"/>
      <color rgb="FF000000"/>
      <name val="Times New Roman"/>
    </font>
    <font>
      <b/>
      <sz val="13.0"/>
      <color rgb="FFFF0000"/>
      <name val="Times New Roman"/>
    </font>
    <font>
      <sz val="12.0"/>
      <color theme="1"/>
      <name val="Arial"/>
    </font>
    <font>
      <sz val="14.0"/>
      <color theme="1"/>
      <name val="Times New Roman"/>
    </font>
    <font>
      <b/>
      <sz val="14.0"/>
      <color theme="1"/>
      <name val="Times New Roman"/>
    </font>
  </fonts>
  <fills count="7">
    <fill>
      <patternFill patternType="none"/>
    </fill>
    <fill>
      <patternFill patternType="lightGray"/>
    </fill>
    <fill>
      <patternFill patternType="solid">
        <fgColor rgb="FFEAD1DC"/>
        <bgColor rgb="FFEAD1DC"/>
      </patternFill>
    </fill>
    <fill>
      <patternFill patternType="solid">
        <fgColor rgb="FFFFFFFF"/>
        <bgColor rgb="FFFFFFFF"/>
      </patternFill>
    </fill>
    <fill>
      <patternFill patternType="solid">
        <fgColor rgb="FFFFF2CC"/>
        <bgColor rgb="FFFFF2CC"/>
      </patternFill>
    </fill>
    <fill>
      <patternFill patternType="solid">
        <fgColor rgb="FF00FFFF"/>
        <bgColor rgb="FF00FFFF"/>
      </patternFill>
    </fill>
    <fill>
      <patternFill patternType="solid">
        <fgColor rgb="FFF3F3F3"/>
        <bgColor rgb="FFF3F3F3"/>
      </patternFill>
    </fill>
  </fills>
  <borders count="57">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border>
    <border>
      <left style="thin">
        <color rgb="FF000000"/>
      </lef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border>
    <border>
      <left/>
      <right/>
      <top/>
      <bottom/>
    </border>
    <border>
      <left/>
      <right/>
      <top/>
      <bottom style="dotted">
        <color rgb="FF000000"/>
      </bottom>
    </border>
    <border>
      <left/>
      <top/>
      <bottom style="dotted">
        <color rgb="FF000000"/>
      </bottom>
    </border>
    <border>
      <top/>
      <bottom style="dotted">
        <color rgb="FF000000"/>
      </bottom>
    </border>
    <border>
      <right/>
      <top/>
      <bottom style="dotted">
        <color rgb="FF000000"/>
      </bottom>
    </border>
    <border>
      <right style="thin">
        <color rgb="FF000000"/>
      </right>
      <top style="thin">
        <color rgb="FF000000"/>
      </top>
      <bottom style="thin">
        <color rgb="FF000000"/>
      </bottom>
    </border>
    <border>
      <left/>
      <right style="thin">
        <color rgb="FF000000"/>
      </right>
      <top/>
      <bottom style="dotted">
        <color rgb="FF000000"/>
      </bottom>
    </border>
    <border>
      <top style="thin">
        <color rgb="FF000000"/>
      </top>
      <bottom style="thin">
        <color rgb="FF000000"/>
      </bottom>
    </border>
    <border>
      <left/>
      <right/>
      <bottom style="dotted">
        <color rgb="FF000000"/>
      </bottom>
    </border>
    <border>
      <left/>
      <bottom style="dotted">
        <color rgb="FF000000"/>
      </bottom>
    </border>
    <border>
      <bottom style="dotted">
        <color rgb="FF000000"/>
      </bottom>
    </border>
    <border>
      <right/>
      <bottom style="dotted">
        <color rgb="FF000000"/>
      </bottom>
    </border>
    <border>
      <left/>
      <right style="thin">
        <color rgb="FF000000"/>
      </right>
      <bottom style="dotted">
        <color rgb="FF000000"/>
      </bottom>
    </border>
    <border>
      <left style="thin">
        <color rgb="FF000000"/>
      </left>
      <right/>
      <top/>
    </border>
    <border>
      <left style="thin">
        <color rgb="FF000000"/>
      </left>
      <right style="thin">
        <color rgb="FF000000"/>
      </right>
      <top style="thin">
        <color rgb="FF000000"/>
      </top>
    </border>
    <border>
      <left/>
      <right/>
      <top/>
    </border>
    <border>
      <left style="thin">
        <color rgb="FF000000"/>
      </left>
      <top style="thin">
        <color rgb="FF000000"/>
      </top>
      <bottom style="thin">
        <color rgb="FF000000"/>
      </bottom>
    </border>
    <border>
      <left style="thin">
        <color rgb="FF000000"/>
      </left>
      <right/>
      <top/>
      <bottom style="thin">
        <color rgb="FF000000"/>
      </bottom>
    </border>
    <border>
      <left/>
      <right/>
      <top/>
      <bottom style="thin">
        <color rgb="FF000000"/>
      </bottom>
    </border>
    <border>
      <left/>
      <right/>
      <bottom style="thin">
        <color rgb="FF000000"/>
      </bottom>
    </border>
    <border>
      <left style="thin">
        <color rgb="FF000000"/>
      </left>
      <right style="thin">
        <color rgb="FF000000"/>
      </right>
      <bottom style="thin">
        <color rgb="FF000000"/>
      </bottom>
    </border>
    <border>
      <left/>
      <bottom style="thin">
        <color rgb="FF000000"/>
      </bottom>
    </border>
    <border>
      <right/>
      <bottom style="thin">
        <color rgb="FF000000"/>
      </bottom>
    </border>
    <border>
      <left/>
      <right style="thin">
        <color rgb="FF000000"/>
      </right>
      <bottom style="thin">
        <color rgb="FF000000"/>
      </bottom>
    </border>
    <border>
      <left/>
      <right/>
    </border>
    <border>
      <left style="thin">
        <color rgb="FF000000"/>
      </left>
      <top/>
      <bottom style="thin">
        <color rgb="FF000000"/>
      </bottom>
    </border>
    <border>
      <top/>
      <bottom style="thin">
        <color rgb="FF000000"/>
      </bottom>
    </border>
    <border>
      <left style="thin">
        <color rgb="FF000000"/>
      </left>
      <top/>
      <bottom style="dotted">
        <color rgb="FF000000"/>
      </bottom>
    </border>
    <border>
      <right style="thin">
        <color rgb="FF000000"/>
      </right>
      <top/>
      <bottom style="dotted">
        <color rgb="FF000000"/>
      </bottom>
    </border>
    <border>
      <left style="thin">
        <color rgb="FF000000"/>
      </left>
      <bottom/>
    </border>
    <border>
      <bottom/>
    </border>
    <border>
      <right style="thin">
        <color rgb="FF000000"/>
      </right>
      <bottom/>
    </border>
    <border>
      <left style="thin">
        <color rgb="FF000000"/>
      </left>
      <right/>
    </border>
    <border>
      <left/>
      <right style="thin">
        <color rgb="FF000000"/>
      </right>
      <top/>
      <bottom/>
    </border>
    <border>
      <left style="thin">
        <color rgb="FF000000"/>
      </left>
      <top/>
      <bottom/>
    </border>
    <border>
      <left/>
      <right/>
      <bottom/>
    </border>
    <border>
      <left style="thin">
        <color rgb="FF000000"/>
      </left>
      <right/>
      <top/>
      <bottom style="dotted">
        <color rgb="FF000000"/>
      </bottom>
    </border>
    <border>
      <top style="dotted">
        <color rgb="FF000000"/>
      </top>
      <bottom style="dotted">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top style="dotted">
        <color rgb="FF000000"/>
      </top>
      <bottom style="dotted">
        <color rgb="FF000000"/>
      </bottom>
    </border>
    <border>
      <right style="thin">
        <color rgb="FF000000"/>
      </right>
      <top style="dotted">
        <color rgb="FF000000"/>
      </top>
      <bottom style="dotted">
        <color rgb="FF000000"/>
      </bottom>
    </border>
  </borders>
  <cellStyleXfs count="1">
    <xf borderId="0" fillId="0" fontId="0" numFmtId="0" applyAlignment="1" applyFont="1"/>
  </cellStyleXfs>
  <cellXfs count="29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shrinkToFit="0" vertical="center" wrapText="1"/>
    </xf>
    <xf borderId="0" fillId="0" fontId="3" numFmtId="0" xfId="0" applyAlignment="1" applyFont="1">
      <alignment vertical="center"/>
    </xf>
    <xf borderId="0" fillId="0" fontId="4" numFmtId="0" xfId="0" applyFont="1"/>
    <xf borderId="0" fillId="0" fontId="5" numFmtId="0" xfId="0" applyFont="1"/>
    <xf borderId="1" fillId="0" fontId="3" numFmtId="0" xfId="0" applyAlignment="1" applyBorder="1" applyFont="1">
      <alignment vertical="center"/>
    </xf>
    <xf borderId="2" fillId="0" fontId="1" numFmtId="0" xfId="0" applyAlignment="1" applyBorder="1" applyFont="1">
      <alignment horizontal="center" vertical="center"/>
    </xf>
    <xf borderId="0" fillId="0" fontId="6" numFmtId="0" xfId="0" applyAlignment="1" applyFont="1">
      <alignment horizontal="right"/>
    </xf>
    <xf borderId="3" fillId="0" fontId="7" numFmtId="0" xfId="0" applyBorder="1" applyFont="1"/>
    <xf borderId="3" fillId="0" fontId="8" numFmtId="3" xfId="0" applyAlignment="1" applyBorder="1" applyFont="1" applyNumberFormat="1">
      <alignment horizontal="center" shrinkToFit="0" vertical="center" wrapText="1"/>
    </xf>
    <xf borderId="0" fillId="0" fontId="9" numFmtId="0" xfId="0" applyFont="1"/>
    <xf borderId="4" fillId="0" fontId="7" numFmtId="0" xfId="0" applyBorder="1" applyFont="1"/>
    <xf borderId="0" fillId="0" fontId="4" numFmtId="0" xfId="0" applyAlignment="1" applyFont="1">
      <alignment horizontal="center"/>
    </xf>
    <xf borderId="2" fillId="0" fontId="10" numFmtId="0" xfId="0" applyAlignment="1" applyBorder="1" applyFont="1">
      <alignment horizontal="center" readingOrder="0" shrinkToFit="0" vertical="center" wrapText="1"/>
    </xf>
    <xf borderId="5" fillId="0" fontId="11" numFmtId="3" xfId="0" applyAlignment="1" applyBorder="1" applyFont="1" applyNumberFormat="1">
      <alignment horizontal="center" shrinkToFit="0" vertical="center" wrapText="1"/>
    </xf>
    <xf borderId="2" fillId="0" fontId="12" numFmtId="0" xfId="0" applyAlignment="1" applyBorder="1" applyFont="1">
      <alignment horizontal="center"/>
    </xf>
    <xf borderId="0" fillId="2" fontId="1" numFmtId="0" xfId="0" applyFill="1" applyFont="1"/>
    <xf borderId="5" fillId="0" fontId="7" numFmtId="0" xfId="0" applyBorder="1" applyFont="1"/>
    <xf borderId="6" fillId="0" fontId="13" numFmtId="0" xfId="0" applyAlignment="1" applyBorder="1" applyFont="1">
      <alignment horizontal="left" readingOrder="0" shrinkToFit="0" vertical="center" wrapText="1"/>
    </xf>
    <xf borderId="0" fillId="2" fontId="1" numFmtId="0" xfId="0" applyAlignment="1" applyFill="1" applyFont="1">
      <alignment readingOrder="0"/>
    </xf>
    <xf borderId="7" fillId="0" fontId="7" numFmtId="0" xfId="0" applyBorder="1" applyFont="1"/>
    <xf borderId="0" fillId="0" fontId="13" numFmtId="0" xfId="0" applyAlignment="1" applyFont="1">
      <alignment shrinkToFit="0" vertical="center" wrapText="1"/>
    </xf>
    <xf borderId="0" fillId="0" fontId="11" numFmtId="3" xfId="0" applyAlignment="1" applyFont="1" applyNumberFormat="1">
      <alignment horizontal="center" shrinkToFit="0" vertical="center" wrapText="1"/>
    </xf>
    <xf borderId="0" fillId="0" fontId="13" numFmtId="0" xfId="0" applyAlignment="1" applyFont="1">
      <alignment horizontal="left" shrinkToFit="0" vertical="center" wrapText="1"/>
    </xf>
    <xf borderId="3" fillId="0" fontId="14" numFmtId="0" xfId="0" applyAlignment="1" applyBorder="1" applyFont="1">
      <alignment horizontal="center" readingOrder="0" shrinkToFit="0" vertical="center" wrapText="1"/>
    </xf>
    <xf borderId="0" fillId="0" fontId="10" numFmtId="0" xfId="0" applyAlignment="1" applyFont="1">
      <alignment horizontal="center" vertical="center"/>
    </xf>
    <xf borderId="8" fillId="0" fontId="7" numFmtId="0" xfId="0" applyBorder="1" applyFont="1"/>
    <xf borderId="2" fillId="0" fontId="8" numFmtId="0" xfId="0" applyAlignment="1" applyBorder="1" applyFont="1">
      <alignment vertical="bottom"/>
    </xf>
    <xf borderId="1" fillId="0" fontId="7" numFmtId="0" xfId="0" applyBorder="1" applyFont="1"/>
    <xf borderId="4" fillId="0" fontId="12" numFmtId="0" xfId="0" applyAlignment="1" applyBorder="1" applyFont="1">
      <alignment vertical="bottom"/>
    </xf>
    <xf borderId="0" fillId="0" fontId="15" numFmtId="0" xfId="0" applyAlignment="1" applyFont="1">
      <alignment horizontal="left" readingOrder="1" shrinkToFit="0" wrapText="1"/>
    </xf>
    <xf borderId="2" fillId="0" fontId="16" numFmtId="0" xfId="0" applyAlignment="1" applyBorder="1" applyFont="1">
      <alignment horizontal="center" readingOrder="0" shrinkToFit="0" vertical="center" wrapText="1"/>
    </xf>
    <xf borderId="0" fillId="0" fontId="17" numFmtId="0" xfId="0" applyAlignment="1" applyFont="1">
      <alignment horizontal="center" shrinkToFit="0" vertical="center" wrapText="1"/>
    </xf>
    <xf borderId="8" fillId="0" fontId="8" numFmtId="0" xfId="0" applyAlignment="1" applyBorder="1" applyFont="1">
      <alignment vertical="bottom"/>
    </xf>
    <xf borderId="1" fillId="0" fontId="12" numFmtId="0" xfId="0" applyAlignment="1" applyBorder="1" applyFont="1">
      <alignment vertical="top"/>
    </xf>
    <xf borderId="9" fillId="0" fontId="7" numFmtId="0" xfId="0" applyBorder="1" applyFont="1"/>
    <xf borderId="2" fillId="0" fontId="18" numFmtId="0" xfId="0" applyAlignment="1" applyBorder="1" applyFont="1">
      <alignment horizontal="center" readingOrder="0" shrinkToFit="0" vertical="center" wrapText="1"/>
    </xf>
    <xf borderId="9" fillId="0" fontId="8" numFmtId="0" xfId="0" applyBorder="1" applyFont="1"/>
    <xf borderId="0" fillId="0" fontId="2" numFmtId="0" xfId="0" applyAlignment="1" applyFont="1">
      <alignment horizontal="center" shrinkToFit="0" vertical="center" wrapText="1"/>
    </xf>
    <xf borderId="7" fillId="0" fontId="12" numFmtId="0" xfId="0" applyAlignment="1" applyBorder="1" applyFont="1">
      <alignment vertical="bottom"/>
    </xf>
    <xf borderId="0" fillId="0" fontId="12" numFmtId="0" xfId="0" applyAlignment="1" applyFont="1">
      <alignment vertical="bottom"/>
    </xf>
    <xf borderId="0" fillId="0" fontId="12" numFmtId="0" xfId="0" applyFont="1"/>
    <xf borderId="0" fillId="0" fontId="19" numFmtId="0" xfId="0" applyAlignment="1" applyFont="1">
      <alignment horizontal="center" readingOrder="0" shrinkToFit="0" vertical="center" wrapText="1"/>
    </xf>
    <xf borderId="0" fillId="0" fontId="8" numFmtId="0" xfId="0" applyFont="1"/>
    <xf borderId="0" fillId="0" fontId="13" numFmtId="0" xfId="0" applyAlignment="1" applyFont="1">
      <alignment horizontal="left" readingOrder="0" shrinkToFit="0" vertical="center" wrapText="0"/>
    </xf>
    <xf borderId="10" fillId="3" fontId="20" numFmtId="0" xfId="0" applyAlignment="1" applyBorder="1" applyFill="1" applyFont="1">
      <alignment horizontal="center"/>
    </xf>
    <xf borderId="0" fillId="0" fontId="13" numFmtId="0" xfId="0" applyAlignment="1" applyFont="1">
      <alignment horizontal="center" readingOrder="0" shrinkToFit="0" vertical="center" wrapText="1"/>
    </xf>
    <xf borderId="11" fillId="0" fontId="7" numFmtId="0" xfId="0" applyBorder="1" applyFont="1"/>
    <xf borderId="0" fillId="0" fontId="13" numFmtId="0" xfId="0" applyAlignment="1" applyFont="1">
      <alignment horizontal="left" readingOrder="0" shrinkToFit="0" vertical="center" wrapText="1"/>
    </xf>
    <xf borderId="12" fillId="0" fontId="7" numFmtId="0" xfId="0" applyBorder="1" applyFont="1"/>
    <xf borderId="0" fillId="0" fontId="11" numFmtId="0" xfId="0" applyAlignment="1" applyFont="1">
      <alignment horizontal="center" readingOrder="0" vertical="center"/>
    </xf>
    <xf borderId="0" fillId="0" fontId="21" numFmtId="0" xfId="0" applyFont="1"/>
    <xf borderId="0" fillId="0" fontId="8" numFmtId="0" xfId="0" applyAlignment="1" applyFont="1">
      <alignment horizontal="left"/>
    </xf>
    <xf borderId="0" fillId="0" fontId="8" numFmtId="0" xfId="0" applyAlignment="1" applyFont="1">
      <alignment vertical="center"/>
    </xf>
    <xf borderId="13" fillId="3" fontId="20" numFmtId="0" xfId="0" applyAlignment="1" applyBorder="1" applyFill="1" applyFont="1">
      <alignment readingOrder="0"/>
    </xf>
    <xf quotePrefix="1" borderId="0" fillId="0" fontId="8" numFmtId="164" xfId="0" applyAlignment="1" applyFont="1" applyNumberFormat="1">
      <alignment vertical="center"/>
    </xf>
    <xf borderId="14" fillId="3" fontId="8" numFmtId="0" xfId="0" applyBorder="1" applyFill="1" applyFont="1"/>
    <xf borderId="15" fillId="3" fontId="22" numFmtId="0" xfId="0" applyAlignment="1" applyBorder="1" applyFill="1" applyFont="1">
      <alignment readingOrder="0"/>
    </xf>
    <xf borderId="0" fillId="0" fontId="3" numFmtId="3" xfId="0" applyAlignment="1" applyFont="1" applyNumberFormat="1">
      <alignment vertical="center"/>
    </xf>
    <xf borderId="15" fillId="3" fontId="11" numFmtId="0" xfId="0" applyBorder="1" applyFill="1" applyFont="1"/>
    <xf borderId="0" fillId="0" fontId="23" numFmtId="0" xfId="0" applyAlignment="1" applyFont="1">
      <alignment horizontal="center" shrinkToFit="0" vertical="center" wrapText="1"/>
    </xf>
    <xf borderId="16" fillId="3" fontId="24" numFmtId="0" xfId="0" applyBorder="1" applyFill="1" applyFont="1"/>
    <xf borderId="6" fillId="0" fontId="23" numFmtId="0" xfId="0" applyAlignment="1" applyBorder="1" applyFont="1">
      <alignment horizontal="center" readingOrder="0" shrinkToFit="0" vertical="center" wrapText="1"/>
    </xf>
    <xf borderId="17" fillId="0" fontId="7" numFmtId="0" xfId="0" applyBorder="1" applyFont="1"/>
    <xf borderId="18" fillId="0" fontId="7" numFmtId="0" xfId="0" applyBorder="1" applyFont="1"/>
    <xf quotePrefix="1" borderId="0" fillId="0" fontId="8" numFmtId="0" xfId="0" applyAlignment="1" applyFont="1">
      <alignment readingOrder="0" vertical="center"/>
    </xf>
    <xf borderId="19" fillId="0" fontId="23" numFmtId="0" xfId="0" applyAlignment="1" applyBorder="1" applyFont="1">
      <alignment horizontal="center" readingOrder="0" shrinkToFit="0" vertical="center" wrapText="1"/>
    </xf>
    <xf borderId="20" fillId="3" fontId="24" numFmtId="0" xfId="0" applyAlignment="1" applyBorder="1" applyFill="1" applyFont="1">
      <alignment vertical="top"/>
    </xf>
    <xf borderId="0" fillId="0" fontId="21" numFmtId="0" xfId="0" applyAlignment="1" applyFont="1">
      <alignment vertical="top"/>
    </xf>
    <xf quotePrefix="1" borderId="0" fillId="0" fontId="8" numFmtId="164" xfId="0" applyAlignment="1" applyFont="1" applyNumberFormat="1">
      <alignment readingOrder="0" vertical="center"/>
    </xf>
    <xf borderId="21" fillId="0" fontId="23" numFmtId="0" xfId="0" applyAlignment="1" applyBorder="1" applyFont="1">
      <alignment horizontal="center" readingOrder="0" shrinkToFit="0" vertical="center" wrapText="1"/>
    </xf>
    <xf borderId="13" fillId="3" fontId="20" numFmtId="0" xfId="0" applyAlignment="1" applyBorder="1" applyFill="1" applyFont="1">
      <alignment horizontal="left" readingOrder="0"/>
    </xf>
    <xf borderId="19" fillId="0" fontId="7" numFmtId="0" xfId="0" applyBorder="1" applyFont="1"/>
    <xf borderId="22" fillId="3" fontId="11" numFmtId="0" xfId="0" applyAlignment="1" applyBorder="1" applyFill="1" applyFont="1">
      <alignment readingOrder="0"/>
    </xf>
    <xf borderId="0" fillId="0" fontId="3" numFmtId="49" xfId="0" applyAlignment="1" applyFont="1" applyNumberFormat="1">
      <alignment vertical="center"/>
    </xf>
    <xf borderId="22" fillId="3" fontId="11" numFmtId="0" xfId="0" applyBorder="1" applyFill="1" applyFont="1"/>
    <xf borderId="0" fillId="0" fontId="25" numFmtId="0" xfId="0" applyAlignment="1" applyFont="1">
      <alignment horizontal="center" shrinkToFit="0" vertical="center" wrapText="1"/>
    </xf>
    <xf borderId="5" fillId="0" fontId="3" numFmtId="0" xfId="0" applyAlignment="1" applyBorder="1" applyFont="1">
      <alignment vertical="center"/>
    </xf>
    <xf borderId="23" fillId="3" fontId="24" numFmtId="0" xfId="0" applyBorder="1" applyFill="1" applyFont="1"/>
    <xf borderId="6" fillId="3" fontId="25" numFmtId="0" xfId="0" applyAlignment="1" applyBorder="1" applyFill="1" applyFont="1">
      <alignment horizontal="center" readingOrder="0" shrinkToFit="0" vertical="center" wrapText="1"/>
    </xf>
    <xf borderId="5" fillId="0" fontId="3" numFmtId="3" xfId="0" applyAlignment="1" applyBorder="1" applyFont="1" applyNumberFormat="1">
      <alignment vertical="center"/>
    </xf>
    <xf borderId="24" fillId="0" fontId="7" numFmtId="0" xfId="0" applyBorder="1" applyFont="1"/>
    <xf borderId="4" fillId="3" fontId="25" numFmtId="0" xfId="0" applyAlignment="1" applyBorder="1" applyFill="1" applyFont="1">
      <alignment horizontal="center" readingOrder="0" shrinkToFit="0" vertical="center" wrapText="1"/>
    </xf>
    <xf borderId="25" fillId="0" fontId="7" numFmtId="0" xfId="0" applyBorder="1" applyFont="1"/>
    <xf borderId="0" fillId="0" fontId="26" numFmtId="0" xfId="0" applyAlignment="1" applyFont="1">
      <alignment horizontal="center" shrinkToFit="0" vertical="center" wrapText="1"/>
    </xf>
    <xf borderId="26" fillId="3" fontId="24" numFmtId="0" xfId="0" applyAlignment="1" applyBorder="1" applyFill="1" applyFont="1">
      <alignment vertical="top"/>
    </xf>
    <xf borderId="21" fillId="3" fontId="25" numFmtId="0" xfId="0" applyAlignment="1" applyBorder="1" applyFill="1" applyFont="1">
      <alignment horizontal="left" readingOrder="0" shrinkToFit="0" vertical="center" wrapText="1"/>
    </xf>
    <xf borderId="0" fillId="0" fontId="21" numFmtId="0" xfId="0" applyAlignment="1" applyFont="1">
      <alignment horizontal="left"/>
    </xf>
    <xf borderId="7" fillId="3" fontId="25" numFmtId="0" xfId="0" applyAlignment="1" applyBorder="1" applyFill="1" applyFont="1">
      <alignment horizontal="center" readingOrder="0" shrinkToFit="0" vertical="center" wrapText="1"/>
    </xf>
    <xf borderId="27" fillId="3" fontId="20" numFmtId="0" xfId="0" applyAlignment="1" applyBorder="1" applyFill="1" applyFont="1">
      <alignment horizontal="left" readingOrder="0"/>
    </xf>
    <xf borderId="28" fillId="0" fontId="26" numFmtId="0" xfId="0" applyAlignment="1" applyBorder="1" applyFont="1">
      <alignment horizontal="center" shrinkToFit="0" vertical="center" wrapText="1"/>
    </xf>
    <xf borderId="29" fillId="3" fontId="8" numFmtId="0" xfId="0" applyBorder="1" applyFill="1" applyFont="1"/>
    <xf borderId="0" fillId="3" fontId="13" numFmtId="0" xfId="0" applyAlignment="1" applyFill="1" applyFont="1">
      <alignment shrinkToFit="0" vertical="center" wrapText="1"/>
    </xf>
    <xf borderId="22" fillId="3" fontId="11" numFmtId="49" xfId="0" applyAlignment="1" applyBorder="1" applyFill="1" applyFont="1" applyNumberFormat="1">
      <alignment readingOrder="0"/>
    </xf>
    <xf borderId="30" fillId="0" fontId="26" numFmtId="0" xfId="0" applyAlignment="1" applyBorder="1" applyFont="1">
      <alignment horizontal="center" shrinkToFit="0" vertical="center" wrapText="1"/>
    </xf>
    <xf borderId="31" fillId="3" fontId="20" numFmtId="0" xfId="0" applyAlignment="1" applyBorder="1" applyFill="1" applyFont="1">
      <alignment horizontal="left" readingOrder="0"/>
    </xf>
    <xf borderId="21" fillId="0" fontId="7" numFmtId="0" xfId="0" applyBorder="1" applyFont="1"/>
    <xf borderId="32" fillId="3" fontId="8" numFmtId="0" xfId="0" applyBorder="1" applyFill="1" applyFont="1"/>
    <xf borderId="33" fillId="3" fontId="11" numFmtId="0" xfId="0" applyAlignment="1" applyBorder="1" applyFill="1" applyFont="1">
      <alignment readingOrder="0"/>
    </xf>
    <xf borderId="34" fillId="0" fontId="7" numFmtId="0" xfId="0" applyBorder="1" applyFont="1"/>
    <xf borderId="33" fillId="3" fontId="11" numFmtId="0" xfId="0" applyBorder="1" applyFill="1" applyFont="1"/>
    <xf borderId="6" fillId="0" fontId="26" numFmtId="0" xfId="0" applyAlignment="1" applyBorder="1" applyFont="1">
      <alignment horizontal="center" shrinkToFit="0" vertical="center" wrapText="1"/>
    </xf>
    <xf borderId="35" fillId="3" fontId="24" numFmtId="0" xfId="0" applyBorder="1" applyFill="1" applyFont="1"/>
    <xf borderId="36" fillId="0" fontId="7" numFmtId="0" xfId="0" applyBorder="1" applyFont="1"/>
    <xf borderId="6" fillId="0" fontId="26" numFmtId="0" xfId="0" applyAlignment="1" applyBorder="1" applyFont="1">
      <alignment horizontal="center" vertical="center"/>
    </xf>
    <xf borderId="37" fillId="3" fontId="24" numFmtId="0" xfId="0" applyAlignment="1" applyBorder="1" applyFill="1" applyFont="1">
      <alignment vertical="top"/>
    </xf>
    <xf borderId="6" fillId="0" fontId="26" numFmtId="3" xfId="0" applyAlignment="1" applyBorder="1" applyFont="1" applyNumberFormat="1">
      <alignment horizontal="center" vertical="center"/>
    </xf>
    <xf borderId="0" fillId="3" fontId="8" numFmtId="0" xfId="0" applyFill="1" applyFont="1"/>
    <xf borderId="0" fillId="4" fontId="1" numFmtId="0" xfId="0" applyFill="1" applyFont="1"/>
    <xf borderId="28" fillId="0" fontId="26" numFmtId="3" xfId="0" applyAlignment="1" applyBorder="1" applyFont="1" applyNumberFormat="1">
      <alignment horizontal="center" vertical="center"/>
    </xf>
    <xf borderId="38" fillId="3" fontId="8" numFmtId="0" xfId="0" applyBorder="1" applyFill="1" applyFont="1"/>
    <xf borderId="0" fillId="4" fontId="1" numFmtId="0" xfId="0" applyAlignment="1" applyFill="1" applyFont="1">
      <alignment readingOrder="0"/>
    </xf>
    <xf borderId="0" fillId="3" fontId="21" numFmtId="0" xfId="0" applyFill="1" applyFont="1"/>
    <xf borderId="6" fillId="0" fontId="26" numFmtId="3" xfId="0" applyAlignment="1" applyBorder="1" applyFont="1" applyNumberFormat="1">
      <alignment horizontal="center" shrinkToFit="0" vertical="center" wrapText="1"/>
    </xf>
    <xf borderId="10" fillId="3" fontId="20" numFmtId="0" xfId="0" applyAlignment="1" applyBorder="1" applyFill="1" applyFont="1">
      <alignment horizontal="center" shrinkToFit="0" vertical="center" wrapText="1"/>
    </xf>
    <xf borderId="0" fillId="3" fontId="8" numFmtId="0" xfId="0" applyAlignment="1" applyFill="1" applyFont="1">
      <alignment horizontal="center" shrinkToFit="0" vertical="center" wrapText="1"/>
    </xf>
    <xf borderId="28" fillId="3" fontId="8" numFmtId="165" xfId="0" applyAlignment="1" applyBorder="1" applyFill="1" applyFont="1" applyNumberFormat="1">
      <alignment horizontal="center" readingOrder="0" shrinkToFit="0" vertical="center" wrapText="1"/>
    </xf>
    <xf borderId="14" fillId="3" fontId="21" numFmtId="0" xfId="0" applyBorder="1" applyFill="1" applyFont="1"/>
    <xf borderId="28" fillId="3" fontId="8" numFmtId="0" xfId="0" applyAlignment="1" applyBorder="1" applyFill="1" applyFont="1">
      <alignment horizontal="center" readingOrder="0" shrinkToFit="0" vertical="center" wrapText="1"/>
    </xf>
    <xf borderId="15" fillId="3" fontId="27" numFmtId="0" xfId="0" applyAlignment="1" applyBorder="1" applyFill="1" applyFont="1">
      <alignment readingOrder="0"/>
    </xf>
    <xf borderId="28" fillId="0" fontId="8" numFmtId="0" xfId="0" applyAlignment="1" applyBorder="1" applyFont="1">
      <alignment horizontal="center" readingOrder="0" shrinkToFit="0" vertical="center" wrapText="1"/>
    </xf>
    <xf borderId="15" fillId="3" fontId="24" numFmtId="0" xfId="0" applyBorder="1" applyFill="1" applyFont="1"/>
    <xf borderId="6" fillId="3" fontId="8" numFmtId="0" xfId="0" applyAlignment="1" applyBorder="1" applyFill="1" applyFont="1">
      <alignment horizontal="left" readingOrder="0" shrinkToFit="0" vertical="center" wrapText="1"/>
    </xf>
    <xf borderId="20" fillId="3" fontId="24" numFmtId="0" xfId="0" applyBorder="1" applyFill="1" applyFont="1"/>
    <xf borderId="6" fillId="3" fontId="8" numFmtId="0" xfId="0" applyAlignment="1" applyBorder="1" applyFill="1" applyFont="1">
      <alignment horizontal="center" readingOrder="0" shrinkToFit="0" vertical="center" wrapText="1"/>
    </xf>
    <xf borderId="39" fillId="3" fontId="26" numFmtId="0" xfId="0" applyAlignment="1" applyBorder="1" applyFill="1" applyFont="1">
      <alignment horizontal="left" readingOrder="0"/>
    </xf>
    <xf borderId="40" fillId="3" fontId="26" numFmtId="0" xfId="0" applyAlignment="1" applyBorder="1" applyFill="1" applyFont="1">
      <alignment horizontal="left" readingOrder="0"/>
    </xf>
    <xf borderId="6" fillId="3" fontId="8" numFmtId="3" xfId="0" applyAlignment="1" applyBorder="1" applyFill="1" applyFont="1" applyNumberFormat="1">
      <alignment horizontal="center" readingOrder="0" shrinkToFit="0" vertical="center" wrapText="1"/>
    </xf>
    <xf borderId="5" fillId="3" fontId="26" numFmtId="0" xfId="0" applyAlignment="1" applyBorder="1" applyFill="1" applyFont="1">
      <alignment horizontal="left" readingOrder="0"/>
    </xf>
    <xf borderId="5" fillId="3" fontId="11" numFmtId="164" xfId="0" applyAlignment="1" applyBorder="1" applyFill="1" applyFont="1" applyNumberFormat="1">
      <alignment horizontal="left" readingOrder="0"/>
    </xf>
    <xf borderId="7" fillId="3" fontId="26" numFmtId="0" xfId="0" applyAlignment="1" applyBorder="1" applyFill="1" applyFont="1">
      <alignment horizontal="left" readingOrder="0"/>
    </xf>
    <xf borderId="0" fillId="3" fontId="8" numFmtId="0" xfId="0" applyAlignment="1" applyFill="1" applyFont="1">
      <alignment horizontal="left"/>
    </xf>
    <xf borderId="0" fillId="3" fontId="8" numFmtId="0" xfId="0" applyFill="1" applyFont="1"/>
    <xf borderId="41" fillId="3" fontId="20" numFmtId="0" xfId="0" applyBorder="1" applyFill="1" applyFont="1"/>
    <xf borderId="17" fillId="3" fontId="20" numFmtId="0" xfId="0" applyBorder="1" applyFill="1" applyFont="1"/>
    <xf borderId="17" fillId="3" fontId="28" numFmtId="165" xfId="0" applyAlignment="1" applyBorder="1" applyFill="1" applyFont="1" applyNumberFormat="1">
      <alignment readingOrder="0"/>
    </xf>
    <xf borderId="17" fillId="3" fontId="24" numFmtId="164" xfId="0" applyBorder="1" applyFill="1" applyFont="1" applyNumberFormat="1"/>
    <xf borderId="6" fillId="0" fontId="3" numFmtId="0" xfId="0" applyAlignment="1" applyBorder="1" applyFont="1">
      <alignment vertical="center"/>
    </xf>
    <xf borderId="42" fillId="3" fontId="20" numFmtId="0" xfId="0" applyBorder="1" applyFill="1" applyFont="1"/>
    <xf borderId="0" fillId="5" fontId="1" numFmtId="0" xfId="0" applyAlignment="1" applyFill="1" applyFont="1">
      <alignment readingOrder="0"/>
    </xf>
    <xf borderId="43" fillId="3" fontId="21" numFmtId="0" xfId="0" applyAlignment="1" applyBorder="1" applyFill="1" applyFont="1">
      <alignment horizontal="left" readingOrder="0" shrinkToFit="0" wrapText="1"/>
    </xf>
    <xf borderId="6" fillId="0" fontId="8" numFmtId="0" xfId="0" applyAlignment="1" applyBorder="1" applyFont="1">
      <alignment horizontal="center" readingOrder="0" shrinkToFit="0" vertical="center" wrapText="1"/>
    </xf>
    <xf borderId="44" fillId="0" fontId="7" numFmtId="0" xfId="0" applyBorder="1" applyFont="1"/>
    <xf borderId="6" fillId="3" fontId="8" numFmtId="3" xfId="0" applyAlignment="1" applyBorder="1" applyFill="1" applyFont="1" applyNumberFormat="1">
      <alignment horizontal="center" shrinkToFit="0" vertical="center" wrapText="1"/>
    </xf>
    <xf borderId="45" fillId="0" fontId="7" numFmtId="0" xfId="0" applyBorder="1" applyFont="1"/>
    <xf borderId="8" fillId="3" fontId="29" numFmtId="0" xfId="0" applyAlignment="1" applyBorder="1" applyFill="1" applyFont="1">
      <alignment vertical="bottom"/>
    </xf>
    <xf borderId="0" fillId="3" fontId="3" numFmtId="0" xfId="0" applyAlignment="1" applyFill="1" applyFont="1">
      <alignment vertical="bottom"/>
    </xf>
    <xf borderId="17" fillId="3" fontId="3" numFmtId="0" xfId="0" applyAlignment="1" applyBorder="1" applyFill="1" applyFont="1">
      <alignment vertical="bottom"/>
    </xf>
    <xf borderId="42" fillId="3" fontId="3" numFmtId="0" xfId="0" applyAlignment="1" applyBorder="1" applyFill="1" applyFont="1">
      <alignment vertical="bottom"/>
    </xf>
    <xf borderId="46" fillId="3" fontId="8" numFmtId="0" xfId="0" applyAlignment="1" applyBorder="1" applyFill="1" applyFont="1">
      <alignment readingOrder="0"/>
    </xf>
    <xf borderId="38" fillId="3" fontId="8" numFmtId="0" xfId="0" applyAlignment="1" applyBorder="1" applyFill="1" applyFont="1">
      <alignment vertical="bottom"/>
    </xf>
    <xf borderId="22" fillId="3" fontId="8" numFmtId="0" xfId="0" applyAlignment="1" applyBorder="1" applyFill="1" applyFont="1">
      <alignment readingOrder="0" vertical="bottom"/>
    </xf>
    <xf borderId="22" fillId="3" fontId="3" numFmtId="0" xfId="0" applyAlignment="1" applyBorder="1" applyFill="1" applyFont="1">
      <alignment vertical="bottom"/>
    </xf>
    <xf borderId="26" fillId="3" fontId="3" numFmtId="0" xfId="0" applyAlignment="1" applyBorder="1" applyFill="1" applyFont="1">
      <alignment vertical="bottom"/>
    </xf>
    <xf borderId="9" fillId="3" fontId="26" numFmtId="0" xfId="0" applyAlignment="1" applyBorder="1" applyFill="1" applyFont="1">
      <alignment vertical="bottom"/>
    </xf>
    <xf borderId="5" fillId="3" fontId="3" numFmtId="0" xfId="0" applyAlignment="1" applyBorder="1" applyFill="1" applyFont="1">
      <alignment vertical="bottom"/>
    </xf>
    <xf borderId="5" fillId="3" fontId="11" numFmtId="165" xfId="0" applyAlignment="1" applyBorder="1" applyFill="1" applyFont="1" applyNumberFormat="1">
      <alignment vertical="bottom"/>
    </xf>
    <xf borderId="7" fillId="3" fontId="3" numFmtId="0" xfId="0" applyAlignment="1" applyBorder="1" applyFill="1" applyFont="1">
      <alignment vertical="bottom"/>
    </xf>
    <xf borderId="13" fillId="3" fontId="20" numFmtId="0" xfId="0" applyBorder="1" applyFill="1" applyFont="1"/>
    <xf borderId="14" fillId="3" fontId="20" numFmtId="0" xfId="0" applyAlignment="1" applyBorder="1" applyFill="1" applyFont="1">
      <alignment readingOrder="0"/>
    </xf>
    <xf borderId="14" fillId="3" fontId="21" numFmtId="0" xfId="0" applyAlignment="1" applyBorder="1" applyFill="1" applyFont="1">
      <alignment readingOrder="0"/>
    </xf>
    <xf borderId="14" fillId="3" fontId="24" numFmtId="0" xfId="0" applyAlignment="1" applyBorder="1" applyFill="1" applyFont="1">
      <alignment readingOrder="0"/>
    </xf>
    <xf borderId="0" fillId="0" fontId="11" numFmtId="0" xfId="0" applyAlignment="1" applyFont="1">
      <alignment readingOrder="0" vertical="center"/>
    </xf>
    <xf borderId="14" fillId="3" fontId="24" numFmtId="0" xfId="0" applyBorder="1" applyFill="1" applyFont="1"/>
    <xf borderId="47" fillId="3" fontId="24" numFmtId="0" xfId="0" applyBorder="1" applyFill="1" applyFont="1"/>
    <xf borderId="0" fillId="0" fontId="11" numFmtId="164" xfId="0" applyAlignment="1" applyFont="1" applyNumberFormat="1">
      <alignment horizontal="center" vertical="center"/>
    </xf>
    <xf borderId="0" fillId="0" fontId="8" numFmtId="0" xfId="0" applyAlignment="1" applyFont="1">
      <alignment horizontal="center" vertical="center"/>
    </xf>
    <xf borderId="13" fillId="3" fontId="26" numFmtId="0" xfId="0" applyAlignment="1" applyBorder="1" applyFill="1" applyFont="1">
      <alignment vertical="bottom"/>
    </xf>
    <xf borderId="0" fillId="0" fontId="26" numFmtId="0" xfId="0" applyAlignment="1" applyFont="1">
      <alignment horizontal="center" readingOrder="0" vertical="center"/>
    </xf>
    <xf borderId="0" fillId="3" fontId="29" numFmtId="0" xfId="0" applyAlignment="1" applyFill="1" applyFont="1">
      <alignment vertical="bottom"/>
    </xf>
    <xf borderId="0" fillId="3" fontId="3" numFmtId="0" xfId="0" applyAlignment="1" applyFill="1" applyFont="1">
      <alignment vertical="bottom"/>
    </xf>
    <xf borderId="0" fillId="0" fontId="8" numFmtId="3" xfId="0" applyAlignment="1" applyFont="1" applyNumberFormat="1">
      <alignment horizontal="center" readingOrder="0" vertical="center"/>
    </xf>
    <xf borderId="0" fillId="3" fontId="3" numFmtId="0" xfId="0" applyAlignment="1" applyFill="1" applyFont="1">
      <alignment vertical="bottom"/>
    </xf>
    <xf borderId="0" fillId="0" fontId="3" numFmtId="0" xfId="0" applyAlignment="1" applyFont="1">
      <alignment readingOrder="0" vertical="center"/>
    </xf>
    <xf borderId="25" fillId="3" fontId="3" numFmtId="0" xfId="0" applyAlignment="1" applyBorder="1" applyFill="1" applyFont="1">
      <alignment vertical="bottom"/>
    </xf>
    <xf borderId="48" fillId="3" fontId="26" numFmtId="0" xfId="0" applyAlignment="1" applyBorder="1" applyFill="1" applyFont="1">
      <alignment vertical="bottom"/>
    </xf>
    <xf borderId="14" fillId="3" fontId="26" numFmtId="0" xfId="0" applyAlignment="1" applyBorder="1" applyFill="1" applyFont="1">
      <alignment vertical="bottom"/>
    </xf>
    <xf borderId="14" fillId="3" fontId="3" numFmtId="0" xfId="0" applyAlignment="1" applyBorder="1" applyFill="1" applyFont="1">
      <alignment vertical="bottom"/>
    </xf>
    <xf borderId="29" fillId="3" fontId="3" numFmtId="0" xfId="0" applyAlignment="1" applyBorder="1" applyFill="1" applyFont="1">
      <alignment vertical="bottom"/>
    </xf>
    <xf borderId="49" fillId="3" fontId="3" numFmtId="0" xfId="0" applyAlignment="1" applyBorder="1" applyFill="1" applyFont="1">
      <alignment vertical="bottom"/>
    </xf>
    <xf borderId="0" fillId="0" fontId="3" numFmtId="0" xfId="0" applyAlignment="1" applyFont="1">
      <alignment vertical="bottom"/>
    </xf>
    <xf borderId="19" fillId="3" fontId="25" numFmtId="0" xfId="0" applyAlignment="1" applyBorder="1" applyFill="1" applyFont="1">
      <alignment horizontal="center" readingOrder="0" shrinkToFit="0" vertical="center" wrapText="1"/>
    </xf>
    <xf borderId="1" fillId="0" fontId="3" numFmtId="0" xfId="0" applyAlignment="1" applyBorder="1" applyFont="1">
      <alignment vertical="bottom"/>
    </xf>
    <xf borderId="0" fillId="0" fontId="26" numFmtId="3" xfId="0" applyAlignment="1" applyFont="1" applyNumberFormat="1">
      <alignment horizontal="center" vertical="center"/>
    </xf>
    <xf borderId="50" fillId="3" fontId="11" numFmtId="0" xfId="0" applyAlignment="1" applyBorder="1" applyFill="1" applyFont="1">
      <alignment vertical="bottom"/>
    </xf>
    <xf borderId="0" fillId="0" fontId="26" numFmtId="0" xfId="0" applyAlignment="1" applyFont="1">
      <alignment horizontal="center" readingOrder="0" shrinkToFit="0" vertical="center" wrapText="1"/>
    </xf>
    <xf borderId="0" fillId="0" fontId="26" numFmtId="3" xfId="0" applyAlignment="1" applyFont="1" applyNumberFormat="1">
      <alignment horizontal="center" readingOrder="0" vertical="center"/>
    </xf>
    <xf borderId="0" fillId="0" fontId="13" numFmtId="0" xfId="0" applyAlignment="1" applyFont="1">
      <alignment readingOrder="0" shrinkToFit="0" vertical="center" wrapText="0"/>
    </xf>
    <xf borderId="0" fillId="0" fontId="25" numFmtId="0" xfId="0" applyFont="1"/>
    <xf borderId="0" fillId="0" fontId="26" numFmtId="0" xfId="0" applyAlignment="1" applyFont="1">
      <alignment vertical="center"/>
    </xf>
    <xf borderId="0" fillId="0" fontId="2" numFmtId="0" xfId="0" applyAlignment="1" applyFont="1">
      <alignment horizontal="center" readingOrder="0" shrinkToFit="0" vertical="center" wrapText="1"/>
    </xf>
    <xf borderId="15" fillId="3" fontId="25" numFmtId="0" xfId="0" applyAlignment="1" applyBorder="1" applyFill="1" applyFont="1">
      <alignment readingOrder="0" vertical="bottom"/>
    </xf>
    <xf borderId="0" fillId="0" fontId="30" numFmtId="0" xfId="0" applyAlignment="1" applyFont="1">
      <alignment shrinkToFit="0" vertical="center" wrapText="1"/>
    </xf>
    <xf borderId="16" fillId="3" fontId="3" numFmtId="0" xfId="0" applyAlignment="1" applyBorder="1" applyFill="1" applyFont="1">
      <alignment vertical="bottom"/>
    </xf>
    <xf borderId="0" fillId="0" fontId="13" numFmtId="0" xfId="0" applyAlignment="1" applyFont="1">
      <alignment shrinkToFit="0" vertical="center" wrapText="1"/>
    </xf>
    <xf borderId="24" fillId="3" fontId="11" numFmtId="0" xfId="0" applyAlignment="1" applyBorder="1" applyFill="1" applyFont="1">
      <alignment horizontal="right" vertical="bottom"/>
    </xf>
    <xf borderId="0" fillId="0" fontId="31" numFmtId="0" xfId="0" applyAlignment="1" applyFont="1">
      <alignment horizontal="center" readingOrder="0" shrinkToFit="0" vertical="center" wrapText="1"/>
    </xf>
    <xf borderId="0" fillId="0" fontId="31" numFmtId="0" xfId="0" applyAlignment="1" applyFont="1">
      <alignment horizontal="center" shrinkToFit="0" vertical="center" wrapText="1"/>
    </xf>
    <xf borderId="0" fillId="0" fontId="13" numFmtId="0" xfId="0" applyAlignment="1" applyFont="1">
      <alignment horizontal="center" shrinkToFit="0" vertical="center" wrapText="1"/>
    </xf>
    <xf borderId="15" fillId="3" fontId="3" numFmtId="0" xfId="0" applyAlignment="1" applyBorder="1" applyFill="1" applyFont="1">
      <alignment vertical="bottom"/>
    </xf>
    <xf borderId="20" fillId="3" fontId="3" numFmtId="0" xfId="0" applyAlignment="1" applyBorder="1" applyFill="1" applyFont="1">
      <alignment vertical="bottom"/>
    </xf>
    <xf borderId="9" fillId="0" fontId="3" numFmtId="0" xfId="0" applyAlignment="1" applyBorder="1" applyFont="1">
      <alignment vertical="bottom"/>
    </xf>
    <xf borderId="5" fillId="0" fontId="3" numFmtId="0" xfId="0" applyAlignment="1" applyBorder="1" applyFont="1">
      <alignment vertical="bottom"/>
    </xf>
    <xf borderId="5" fillId="0" fontId="3" numFmtId="0" xfId="0" applyAlignment="1" applyBorder="1" applyFont="1">
      <alignment vertical="bottom"/>
    </xf>
    <xf borderId="7" fillId="0" fontId="3" numFmtId="0" xfId="0" applyAlignment="1" applyBorder="1" applyFont="1">
      <alignment vertical="bottom"/>
    </xf>
    <xf borderId="0" fillId="0" fontId="20" numFmtId="0" xfId="0" applyAlignment="1" applyFont="1">
      <alignment horizontal="center"/>
    </xf>
    <xf borderId="0" fillId="0" fontId="20" numFmtId="0" xfId="0" applyAlignment="1" applyFont="1">
      <alignment horizontal="center" readingOrder="0"/>
    </xf>
    <xf borderId="0" fillId="0" fontId="26" numFmtId="0" xfId="0" applyAlignment="1" applyFont="1">
      <alignment horizontal="left"/>
    </xf>
    <xf borderId="0" fillId="0" fontId="20" numFmtId="0" xfId="0" applyAlignment="1" applyFont="1">
      <alignment horizontal="left" readingOrder="0" shrinkToFit="0" wrapText="0"/>
    </xf>
    <xf borderId="0" fillId="3" fontId="21" numFmtId="0" xfId="0" applyAlignment="1" applyFill="1" applyFont="1">
      <alignment horizontal="left"/>
    </xf>
    <xf borderId="0" fillId="3" fontId="32" numFmtId="0" xfId="0" applyAlignment="1" applyFill="1" applyFont="1">
      <alignment horizontal="left" readingOrder="0"/>
    </xf>
    <xf borderId="0" fillId="3" fontId="8" numFmtId="0" xfId="0" applyAlignment="1" applyFill="1" applyFont="1">
      <alignment horizontal="center" vertical="center"/>
    </xf>
    <xf borderId="6" fillId="3" fontId="20" numFmtId="0" xfId="0" applyAlignment="1" applyBorder="1" applyFill="1" applyFont="1">
      <alignment horizontal="center" vertical="center"/>
    </xf>
    <xf borderId="6" fillId="3" fontId="20" numFmtId="0" xfId="0" applyAlignment="1" applyBorder="1" applyFill="1" applyFont="1">
      <alignment horizontal="center" readingOrder="0" vertical="center"/>
    </xf>
    <xf borderId="0" fillId="0" fontId="25" numFmtId="0" xfId="0" applyAlignment="1" applyFont="1">
      <alignment readingOrder="0" shrinkToFit="0" vertical="center" wrapText="0"/>
    </xf>
    <xf borderId="0" fillId="0" fontId="25" numFmtId="0" xfId="0" applyAlignment="1" applyFont="1">
      <alignment readingOrder="0" shrinkToFit="0" vertical="bottom" wrapText="0"/>
    </xf>
    <xf borderId="30" fillId="3" fontId="20" numFmtId="0" xfId="0" applyAlignment="1" applyBorder="1" applyFill="1" applyFont="1">
      <alignment horizontal="center" shrinkToFit="0" vertical="center" wrapText="1"/>
    </xf>
    <xf borderId="6" fillId="6" fontId="33" numFmtId="3" xfId="0" applyAlignment="1" applyBorder="1" applyFill="1" applyFont="1" applyNumberFormat="1">
      <alignment vertical="center"/>
    </xf>
    <xf borderId="6" fillId="3" fontId="20" numFmtId="0" xfId="0" applyAlignment="1" applyBorder="1" applyFill="1" applyFont="1">
      <alignment horizontal="center" readingOrder="0" shrinkToFit="0" vertical="center" wrapText="1"/>
    </xf>
    <xf borderId="0" fillId="0" fontId="25" numFmtId="0" xfId="0" applyAlignment="1" applyFont="1">
      <alignment shrinkToFit="0" vertical="center" wrapText="0"/>
    </xf>
    <xf borderId="14" fillId="3" fontId="23" numFmtId="0" xfId="0" applyAlignment="1" applyBorder="1" applyFill="1" applyFont="1">
      <alignment shrinkToFit="0" vertical="center" wrapText="0"/>
    </xf>
    <xf borderId="0" fillId="0" fontId="34" numFmtId="0" xfId="0" applyAlignment="1" applyFont="1">
      <alignment shrinkToFit="0" vertical="center" wrapText="0"/>
    </xf>
    <xf borderId="0" fillId="3" fontId="21" numFmtId="0" xfId="0" applyAlignment="1" applyFill="1" applyFont="1">
      <alignment vertical="center"/>
    </xf>
    <xf borderId="14" fillId="3" fontId="35" numFmtId="0" xfId="0" applyAlignment="1" applyBorder="1" applyFill="1" applyFont="1">
      <alignment horizontal="center" shrinkToFit="0" vertical="center" wrapText="0"/>
    </xf>
    <xf borderId="6" fillId="3" fontId="21" numFmtId="0" xfId="0" applyAlignment="1" applyBorder="1" applyFill="1" applyFont="1">
      <alignment horizontal="center" readingOrder="0" vertical="center"/>
    </xf>
    <xf borderId="0" fillId="0" fontId="34" numFmtId="0" xfId="0" applyAlignment="1" applyFont="1">
      <alignment horizontal="center" shrinkToFit="0" vertical="center" wrapText="0"/>
    </xf>
    <xf borderId="6" fillId="3" fontId="34" numFmtId="0" xfId="0" applyAlignment="1" applyBorder="1" applyFill="1" applyFont="1">
      <alignment horizontal="center" readingOrder="0" shrinkToFit="0" vertical="center" wrapText="1"/>
    </xf>
    <xf borderId="30" fillId="3" fontId="8" numFmtId="0" xfId="0" applyAlignment="1" applyBorder="1" applyFill="1" applyFont="1">
      <alignment horizontal="center" readingOrder="0" shrinkToFit="0" vertical="center" wrapText="1"/>
    </xf>
    <xf borderId="0" fillId="0" fontId="34" numFmtId="0" xfId="0" applyAlignment="1" applyFont="1">
      <alignment readingOrder="0" shrinkToFit="0" vertical="bottom" wrapText="0"/>
    </xf>
    <xf borderId="6" fillId="3" fontId="8" numFmtId="0" xfId="0" applyAlignment="1" applyBorder="1" applyFill="1" applyFont="1">
      <alignment horizontal="center" readingOrder="0" vertical="center"/>
    </xf>
    <xf borderId="0" fillId="0" fontId="34" numFmtId="0" xfId="0" applyAlignment="1" applyFont="1">
      <alignment horizontal="left" readingOrder="0" shrinkToFit="0" vertical="bottom" wrapText="0"/>
    </xf>
    <xf borderId="6" fillId="3" fontId="8" numFmtId="3" xfId="0" applyAlignment="1" applyBorder="1" applyFill="1" applyFont="1" applyNumberFormat="1">
      <alignment horizontal="center" readingOrder="0" vertical="center"/>
    </xf>
    <xf borderId="0" fillId="0" fontId="34" numFmtId="0" xfId="0" applyAlignment="1" applyFont="1">
      <alignment shrinkToFit="0" vertical="bottom" wrapText="0"/>
    </xf>
    <xf borderId="0" fillId="0" fontId="35" numFmtId="0" xfId="0" applyAlignment="1" applyFont="1">
      <alignment horizontal="center" shrinkToFit="0" vertical="center" wrapText="0"/>
    </xf>
    <xf borderId="0" fillId="0" fontId="10" numFmtId="0" xfId="0" applyAlignment="1" applyFont="1">
      <alignment horizontal="center" readingOrder="0" shrinkToFit="0" vertical="bottom" wrapText="0"/>
    </xf>
    <xf borderId="0" fillId="0" fontId="22" numFmtId="0" xfId="0" applyAlignment="1" applyFont="1">
      <alignment horizontal="center" shrinkToFit="0" vertical="center" wrapText="0"/>
    </xf>
    <xf borderId="0" fillId="0" fontId="22" numFmtId="0" xfId="0" applyAlignment="1" applyFont="1">
      <alignment horizontal="center" readingOrder="0" shrinkToFit="0" vertical="center" wrapText="0"/>
    </xf>
    <xf borderId="24" fillId="0" fontId="34" numFmtId="0" xfId="0" applyAlignment="1" applyBorder="1" applyFont="1">
      <alignment readingOrder="0" shrinkToFit="0" vertical="bottom" wrapText="0"/>
    </xf>
    <xf borderId="24" fillId="0" fontId="34" numFmtId="0" xfId="0" applyAlignment="1" applyBorder="1" applyFont="1">
      <alignment shrinkToFit="0" vertical="bottom" wrapText="0"/>
    </xf>
    <xf borderId="0" fillId="0" fontId="34" numFmtId="0" xfId="0" applyAlignment="1" applyFont="1">
      <alignment readingOrder="0" shrinkToFit="0" vertical="center" wrapText="0"/>
    </xf>
    <xf borderId="51" fillId="0" fontId="34" numFmtId="0" xfId="0" applyAlignment="1" applyBorder="1" applyFont="1">
      <alignment horizontal="left" readingOrder="0" shrinkToFit="0" vertical="bottom" wrapText="1"/>
    </xf>
    <xf borderId="51" fillId="0" fontId="7" numFmtId="0" xfId="0" applyBorder="1" applyFont="1"/>
    <xf borderId="6" fillId="3" fontId="21" numFmtId="0" xfId="0" applyAlignment="1" applyBorder="1" applyFill="1" applyFont="1">
      <alignment horizontal="center" vertical="center"/>
    </xf>
    <xf borderId="30" fillId="3" fontId="26" numFmtId="0" xfId="0" applyAlignment="1" applyBorder="1" applyFill="1" applyFont="1">
      <alignment horizontal="center" readingOrder="0" vertical="center"/>
    </xf>
    <xf borderId="24" fillId="0" fontId="34" numFmtId="0" xfId="0" applyAlignment="1" applyBorder="1" applyFont="1">
      <alignment horizontal="left" readingOrder="0" shrinkToFit="0" vertical="bottom" wrapText="1"/>
    </xf>
    <xf borderId="24" fillId="0" fontId="34" numFmtId="166" xfId="0" applyAlignment="1" applyBorder="1" applyFont="1" applyNumberFormat="1">
      <alignment horizontal="left" shrinkToFit="0" vertical="bottom" wrapText="0"/>
    </xf>
    <xf borderId="6" fillId="3" fontId="26" numFmtId="3" xfId="0" applyAlignment="1" applyBorder="1" applyFill="1" applyFont="1" applyNumberFormat="1">
      <alignment horizontal="center" vertical="center"/>
    </xf>
    <xf borderId="6" fillId="3" fontId="8" numFmtId="0" xfId="0" applyBorder="1" applyFill="1" applyFont="1"/>
    <xf borderId="51" fillId="0" fontId="34" numFmtId="0" xfId="0" applyAlignment="1" applyBorder="1" applyFont="1">
      <alignment shrinkToFit="0" vertical="bottom" wrapText="0"/>
    </xf>
    <xf borderId="0" fillId="3" fontId="26" numFmtId="0" xfId="0" applyAlignment="1" applyFill="1" applyFont="1">
      <alignment horizontal="left" readingOrder="0"/>
    </xf>
    <xf borderId="0" fillId="0" fontId="21" numFmtId="0" xfId="0" applyAlignment="1" applyFont="1">
      <alignment readingOrder="0"/>
    </xf>
    <xf borderId="0" fillId="0" fontId="8" numFmtId="0" xfId="0" applyFont="1"/>
    <xf borderId="0" fillId="3" fontId="21" numFmtId="0" xfId="0" applyAlignment="1" applyFill="1" applyFont="1">
      <alignment horizontal="center" vertical="center"/>
    </xf>
    <xf borderId="24" fillId="0" fontId="34" numFmtId="0" xfId="0" applyAlignment="1" applyBorder="1" applyFont="1">
      <alignment horizontal="left" shrinkToFit="0" vertical="bottom" wrapText="1"/>
    </xf>
    <xf borderId="0" fillId="3" fontId="20" numFmtId="0" xfId="0" applyAlignment="1" applyFill="1" applyFont="1">
      <alignment horizontal="center" readingOrder="1" vertical="center"/>
    </xf>
    <xf borderId="0" fillId="3" fontId="8" numFmtId="0" xfId="0" applyAlignment="1" applyFill="1" applyFont="1">
      <alignment horizontal="left" vertical="center"/>
    </xf>
    <xf borderId="0" fillId="3" fontId="8" numFmtId="167" xfId="0" applyAlignment="1" applyFill="1" applyFont="1" applyNumberFormat="1">
      <alignment horizontal="left" vertical="center"/>
    </xf>
    <xf borderId="0" fillId="3" fontId="26" numFmtId="0" xfId="0" applyAlignment="1" applyFill="1" applyFont="1">
      <alignment horizontal="center" vertical="center"/>
    </xf>
    <xf borderId="14" fillId="3" fontId="12" numFmtId="0" xfId="0" applyAlignment="1" applyBorder="1" applyFill="1" applyFont="1">
      <alignment vertical="bottom"/>
    </xf>
    <xf borderId="0" fillId="0" fontId="26" numFmtId="0" xfId="0" applyAlignment="1" applyFont="1">
      <alignment vertical="bottom"/>
    </xf>
    <xf borderId="0" fillId="0" fontId="35" numFmtId="0" xfId="0" applyAlignment="1" applyFont="1">
      <alignment horizontal="center" readingOrder="0" shrinkToFit="0" vertical="center" wrapText="0"/>
    </xf>
    <xf borderId="0" fillId="0" fontId="12" numFmtId="0" xfId="0" applyAlignment="1" applyFont="1">
      <alignment vertical="bottom"/>
    </xf>
    <xf borderId="2" fillId="0" fontId="26" numFmtId="0" xfId="0" applyAlignment="1" applyBorder="1" applyFont="1">
      <alignment horizontal="center" readingOrder="0" shrinkToFit="0" vertical="top" wrapText="1"/>
    </xf>
    <xf borderId="3" fillId="0" fontId="26" numFmtId="0" xfId="0" applyAlignment="1" applyBorder="1" applyFont="1">
      <alignment horizontal="center" readingOrder="0" shrinkToFit="0" vertical="top" wrapText="1"/>
    </xf>
    <xf borderId="3" fillId="0" fontId="26" numFmtId="0" xfId="0" applyAlignment="1" applyBorder="1" applyFont="1">
      <alignment horizontal="center" readingOrder="0" vertical="bottom"/>
    </xf>
    <xf borderId="0" fillId="0" fontId="12" numFmtId="0" xfId="0" applyAlignment="1" applyFont="1">
      <alignment vertical="bottom"/>
    </xf>
    <xf borderId="8" fillId="0" fontId="12" numFmtId="0" xfId="0" applyAlignment="1" applyBorder="1" applyFont="1">
      <alignment vertical="bottom"/>
    </xf>
    <xf borderId="0" fillId="0" fontId="12" numFmtId="0" xfId="0" applyAlignment="1" applyFont="1">
      <alignment vertical="top"/>
    </xf>
    <xf borderId="1" fillId="0" fontId="12" numFmtId="0" xfId="0" applyAlignment="1" applyBorder="1" applyFont="1">
      <alignment vertical="bottom"/>
    </xf>
    <xf borderId="8" fillId="0" fontId="12" numFmtId="0" xfId="0" applyAlignment="1" applyBorder="1" applyFont="1">
      <alignment vertical="bottom"/>
    </xf>
    <xf borderId="1" fillId="0" fontId="12" numFmtId="0" xfId="0" applyAlignment="1" applyBorder="1" applyFont="1">
      <alignment vertical="top"/>
    </xf>
    <xf borderId="0" fillId="0" fontId="12" numFmtId="1" xfId="0" applyAlignment="1" applyFont="1" applyNumberFormat="1">
      <alignment vertical="bottom"/>
    </xf>
    <xf borderId="8" fillId="0" fontId="26" numFmtId="0" xfId="0" applyAlignment="1" applyBorder="1" applyFont="1">
      <alignment horizontal="center" readingOrder="0" vertical="center"/>
    </xf>
    <xf borderId="8" fillId="0" fontId="12" numFmtId="0" xfId="0" applyAlignment="1" applyBorder="1" applyFont="1">
      <alignment vertical="bottom"/>
    </xf>
    <xf borderId="0" fillId="0" fontId="26" numFmtId="0" xfId="0" applyAlignment="1" applyFont="1">
      <alignment horizontal="center" shrinkToFit="0" vertical="top" wrapText="1"/>
    </xf>
    <xf borderId="0" fillId="0" fontId="22" numFmtId="0" xfId="0" applyAlignment="1" applyFont="1">
      <alignment horizontal="center" shrinkToFit="0" vertical="bottom" wrapText="0"/>
    </xf>
    <xf borderId="0" fillId="0" fontId="26" numFmtId="0" xfId="0" applyAlignment="1" applyFont="1">
      <alignment horizontal="center" shrinkToFit="0" vertical="top" wrapText="1"/>
    </xf>
    <xf borderId="0" fillId="0" fontId="34" numFmtId="0" xfId="0" applyAlignment="1" applyFont="1">
      <alignment horizontal="center" shrinkToFit="0" vertical="bottom" wrapText="0"/>
    </xf>
    <xf borderId="0" fillId="0" fontId="4" numFmtId="0" xfId="0" applyAlignment="1" applyFont="1">
      <alignment horizontal="center" shrinkToFit="0" vertical="top" wrapText="1"/>
    </xf>
    <xf borderId="9" fillId="0" fontId="12" numFmtId="0" xfId="0" applyAlignment="1" applyBorder="1" applyFont="1">
      <alignment vertical="bottom"/>
    </xf>
    <xf borderId="5" fillId="0" fontId="26" numFmtId="0" xfId="0" applyAlignment="1" applyBorder="1" applyFont="1">
      <alignment horizontal="center" vertical="bottom"/>
    </xf>
    <xf borderId="5" fillId="0" fontId="12" numFmtId="0" xfId="0" applyAlignment="1" applyBorder="1" applyFont="1">
      <alignment vertical="bottom"/>
    </xf>
    <xf borderId="2" fillId="0" fontId="12" numFmtId="0" xfId="0" applyAlignment="1" applyBorder="1" applyFont="1">
      <alignment vertical="bottom"/>
    </xf>
    <xf borderId="5" fillId="0" fontId="4" numFmtId="0" xfId="0" applyAlignment="1" applyBorder="1" applyFont="1">
      <alignment horizontal="center" shrinkToFit="0" vertical="top" wrapText="1"/>
    </xf>
    <xf borderId="0" fillId="0" fontId="26" numFmtId="0" xfId="0" applyAlignment="1" applyFont="1">
      <alignment vertical="bottom"/>
    </xf>
    <xf borderId="5" fillId="0" fontId="26" numFmtId="0" xfId="0" applyAlignment="1" applyBorder="1" applyFont="1">
      <alignment vertical="bottom"/>
    </xf>
    <xf borderId="5" fillId="0" fontId="12" numFmtId="0" xfId="0" applyAlignment="1" applyBorder="1" applyFont="1">
      <alignment vertical="bottom"/>
    </xf>
    <xf borderId="52" fillId="0" fontId="29" numFmtId="0" xfId="0" applyAlignment="1" applyBorder="1" applyFont="1">
      <alignment vertical="bottom"/>
    </xf>
    <xf borderId="53" fillId="0" fontId="12" numFmtId="0" xfId="0" applyAlignment="1" applyBorder="1" applyFont="1">
      <alignment vertical="bottom"/>
    </xf>
    <xf borderId="54" fillId="0" fontId="12" numFmtId="0" xfId="0" applyAlignment="1" applyBorder="1" applyFont="1">
      <alignment vertical="bottom"/>
    </xf>
    <xf borderId="55" fillId="0" fontId="29" numFmtId="0" xfId="0" applyAlignment="1" applyBorder="1" applyFont="1">
      <alignment vertical="bottom"/>
    </xf>
    <xf borderId="51" fillId="0" fontId="12" numFmtId="0" xfId="0" applyAlignment="1" applyBorder="1" applyFont="1">
      <alignment vertical="bottom"/>
    </xf>
    <xf borderId="56" fillId="0" fontId="12" numFmtId="0" xfId="0" applyAlignment="1" applyBorder="1" applyFont="1">
      <alignment vertical="bottom"/>
    </xf>
    <xf borderId="9" fillId="0" fontId="8" numFmtId="0" xfId="0" applyAlignment="1" applyBorder="1" applyFont="1">
      <alignment horizontal="center" readingOrder="0" vertical="bottom"/>
    </xf>
    <xf borderId="5" fillId="0" fontId="12" numFmtId="0" xfId="0" applyAlignment="1" applyBorder="1" applyFont="1">
      <alignment vertical="bottom"/>
    </xf>
    <xf borderId="7" fillId="0" fontId="12" numFmtId="0" xfId="0" applyAlignment="1" applyBorder="1" applyFont="1">
      <alignment vertical="bottom"/>
    </xf>
    <xf borderId="0" fillId="0" fontId="8"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85750" cy="3333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323850" cy="3619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723900</xdr:colOff>
      <xdr:row>2</xdr:row>
      <xdr:rowOff>190500</xdr:rowOff>
    </xdr:from>
    <xdr:ext cx="1257300" cy="1276350"/>
    <xdr:pic>
      <xdr:nvPicPr>
        <xdr:cNvPr id="0" name="image1.jp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4.38"/>
    <col customWidth="1" min="2" max="2" width="7.25"/>
    <col customWidth="1" min="3" max="4" width="10.25"/>
    <col customWidth="1" min="5" max="5" width="26.25"/>
    <col customWidth="1" min="6" max="6" width="56.25"/>
    <col customWidth="1" min="7" max="8" width="10.5"/>
    <col customWidth="1" min="9" max="9" width="25.75"/>
    <col customWidth="1" min="10" max="11" width="4.5"/>
  </cols>
  <sheetData>
    <row r="1" ht="26.25" customHeight="1">
      <c r="A1" s="2"/>
      <c r="B1" s="7"/>
      <c r="C1" s="9"/>
      <c r="D1" s="12"/>
      <c r="E1" s="14" t="s">
        <v>28</v>
      </c>
      <c r="F1" s="9"/>
      <c r="G1" s="9"/>
      <c r="H1" s="12"/>
      <c r="I1" s="19" t="s">
        <v>33</v>
      </c>
      <c r="J1" s="22"/>
      <c r="K1" s="22"/>
    </row>
    <row r="2" ht="26.25" customHeight="1">
      <c r="A2" s="24"/>
      <c r="B2" s="27"/>
      <c r="D2" s="29"/>
      <c r="E2" s="32" t="s">
        <v>45</v>
      </c>
      <c r="F2" s="9"/>
      <c r="G2" s="9"/>
      <c r="H2" s="12"/>
      <c r="I2" s="19" t="s">
        <v>49</v>
      </c>
      <c r="J2" s="22"/>
      <c r="K2" s="22"/>
    </row>
    <row r="3" ht="26.25" customHeight="1">
      <c r="A3" s="24"/>
      <c r="B3" s="27"/>
      <c r="D3" s="29"/>
      <c r="E3" s="37" t="s">
        <v>51</v>
      </c>
      <c r="F3" s="9"/>
      <c r="G3" s="9"/>
      <c r="H3" s="12"/>
      <c r="I3" s="19" t="s">
        <v>50</v>
      </c>
      <c r="J3" s="22"/>
      <c r="K3" s="22"/>
    </row>
    <row r="4" ht="26.25" customHeight="1">
      <c r="A4" s="39"/>
      <c r="B4" s="36"/>
      <c r="C4" s="18"/>
      <c r="D4" s="21"/>
      <c r="E4" s="36"/>
      <c r="F4" s="18"/>
      <c r="G4" s="18"/>
      <c r="H4" s="21"/>
      <c r="I4" s="19" t="s">
        <v>55</v>
      </c>
      <c r="J4" s="22"/>
      <c r="K4" s="22"/>
    </row>
    <row r="5">
      <c r="A5" s="39"/>
      <c r="B5" s="43"/>
      <c r="J5" s="22"/>
      <c r="K5" s="22"/>
    </row>
    <row r="6" ht="30.0" customHeight="1">
      <c r="A6" s="24"/>
      <c r="B6" s="45" t="s">
        <v>61</v>
      </c>
      <c r="C6" s="47"/>
      <c r="D6" s="49"/>
      <c r="E6" s="49"/>
      <c r="F6" s="49" t="s">
        <v>68</v>
      </c>
      <c r="G6" s="49"/>
      <c r="H6" s="49"/>
      <c r="J6" s="22"/>
      <c r="K6" s="22"/>
    </row>
    <row r="7" ht="30.0" customHeight="1">
      <c r="A7" s="24"/>
      <c r="B7" s="45" t="s">
        <v>72</v>
      </c>
      <c r="C7" s="47"/>
      <c r="D7" s="49"/>
      <c r="E7" s="49"/>
      <c r="F7" s="49" t="s">
        <v>74</v>
      </c>
      <c r="G7" s="49"/>
      <c r="H7" s="49"/>
      <c r="I7" s="49"/>
      <c r="J7" s="22"/>
      <c r="K7" s="22"/>
    </row>
    <row r="8" ht="30.0" customHeight="1">
      <c r="A8" s="24"/>
      <c r="B8" s="49" t="s">
        <v>79</v>
      </c>
      <c r="J8" s="22"/>
      <c r="K8" s="22"/>
    </row>
    <row r="9" ht="30.0" customHeight="1">
      <c r="A9" s="24"/>
      <c r="B9" s="49" t="s">
        <v>84</v>
      </c>
      <c r="J9" s="22"/>
      <c r="K9" s="22"/>
    </row>
    <row r="10" ht="32.25" customHeight="1">
      <c r="A10" s="61"/>
      <c r="B10" s="63" t="s">
        <v>89</v>
      </c>
      <c r="C10" s="67" t="s">
        <v>94</v>
      </c>
      <c r="D10" s="71" t="s">
        <v>97</v>
      </c>
      <c r="E10" s="73"/>
      <c r="F10" s="67" t="s">
        <v>106</v>
      </c>
      <c r="G10" s="67" t="s">
        <v>107</v>
      </c>
      <c r="H10" s="67" t="s">
        <v>108</v>
      </c>
      <c r="I10" s="67" t="s">
        <v>6</v>
      </c>
      <c r="J10" s="22"/>
      <c r="K10" s="22"/>
    </row>
    <row r="11" ht="23.25" customHeight="1">
      <c r="A11" s="77"/>
      <c r="B11" s="80">
        <v>1.0</v>
      </c>
      <c r="C11" s="83" t="s">
        <v>115</v>
      </c>
      <c r="D11" s="87" t="s">
        <v>123</v>
      </c>
      <c r="E11" s="73"/>
      <c r="F11" s="89" t="s">
        <v>128</v>
      </c>
      <c r="G11" s="89"/>
      <c r="H11" s="89"/>
      <c r="I11" s="89"/>
      <c r="J11" s="93"/>
      <c r="K11" s="93"/>
    </row>
    <row r="12" ht="23.25" customHeight="1">
      <c r="A12" s="77"/>
      <c r="B12" s="80">
        <v>2.0</v>
      </c>
      <c r="C12" s="29"/>
      <c r="D12" s="87" t="s">
        <v>138</v>
      </c>
      <c r="E12" s="73"/>
      <c r="F12" s="89" t="s">
        <v>142</v>
      </c>
      <c r="G12" s="89"/>
      <c r="H12" s="89"/>
      <c r="I12" s="89"/>
      <c r="J12" s="93"/>
      <c r="K12" s="93"/>
    </row>
    <row r="13" ht="23.25" customHeight="1">
      <c r="A13" s="77"/>
      <c r="B13" s="80">
        <v>3.0</v>
      </c>
      <c r="C13" s="21"/>
      <c r="D13" s="87" t="s">
        <v>145</v>
      </c>
      <c r="E13" s="73"/>
      <c r="F13" s="89" t="s">
        <v>149</v>
      </c>
      <c r="G13" s="89"/>
      <c r="H13" s="89"/>
      <c r="I13" s="89"/>
      <c r="J13" s="93"/>
      <c r="K13" s="93"/>
    </row>
    <row r="14" ht="23.25" customHeight="1">
      <c r="A14" s="77"/>
      <c r="B14" s="80">
        <v>4.0</v>
      </c>
      <c r="C14" s="83" t="s">
        <v>154</v>
      </c>
      <c r="D14" s="87" t="s">
        <v>156</v>
      </c>
      <c r="E14" s="73"/>
      <c r="F14" s="89" t="s">
        <v>160</v>
      </c>
      <c r="G14" s="89"/>
      <c r="H14" s="89"/>
      <c r="I14" s="89"/>
      <c r="J14" s="93"/>
      <c r="K14" s="93"/>
    </row>
    <row r="15" ht="23.25" customHeight="1">
      <c r="A15" s="77"/>
      <c r="B15" s="80">
        <v>5.0</v>
      </c>
      <c r="C15" s="29"/>
      <c r="D15" s="87" t="s">
        <v>164</v>
      </c>
      <c r="E15" s="73"/>
      <c r="F15" s="89" t="s">
        <v>167</v>
      </c>
      <c r="G15" s="89"/>
      <c r="H15" s="89"/>
      <c r="I15" s="89"/>
      <c r="J15" s="93"/>
      <c r="K15" s="93"/>
    </row>
    <row r="16" ht="23.25" customHeight="1">
      <c r="A16" s="77"/>
      <c r="B16" s="80">
        <v>6.0</v>
      </c>
      <c r="C16" s="29"/>
      <c r="D16" s="87" t="s">
        <v>173</v>
      </c>
      <c r="E16" s="73"/>
      <c r="F16" s="89" t="s">
        <v>175</v>
      </c>
      <c r="G16" s="89"/>
      <c r="H16" s="89"/>
      <c r="I16" s="89"/>
      <c r="J16" s="93"/>
      <c r="K16" s="93"/>
    </row>
    <row r="17" ht="23.25" customHeight="1">
      <c r="A17" s="77"/>
      <c r="B17" s="80">
        <v>7.0</v>
      </c>
      <c r="C17" s="21"/>
      <c r="D17" s="87" t="s">
        <v>177</v>
      </c>
      <c r="E17" s="73"/>
      <c r="F17" s="89" t="s">
        <v>167</v>
      </c>
      <c r="G17" s="89"/>
      <c r="H17" s="89"/>
      <c r="I17" s="89"/>
      <c r="J17" s="93"/>
      <c r="K17" s="93"/>
    </row>
    <row r="18" ht="23.25" customHeight="1">
      <c r="A18" s="77"/>
      <c r="B18" s="80">
        <v>8.0</v>
      </c>
      <c r="C18" s="83" t="s">
        <v>35</v>
      </c>
      <c r="D18" s="87" t="s">
        <v>36</v>
      </c>
      <c r="E18" s="73"/>
      <c r="F18" s="89" t="s">
        <v>37</v>
      </c>
      <c r="G18" s="89"/>
      <c r="H18" s="89"/>
      <c r="I18" s="89"/>
      <c r="J18" s="93"/>
      <c r="K18" s="93"/>
    </row>
    <row r="19" ht="23.25" customHeight="1">
      <c r="A19" s="77"/>
      <c r="B19" s="80">
        <v>9.0</v>
      </c>
      <c r="C19" s="29"/>
      <c r="D19" s="87" t="s">
        <v>39</v>
      </c>
      <c r="E19" s="73"/>
      <c r="F19" s="89" t="s">
        <v>40</v>
      </c>
      <c r="G19" s="89"/>
      <c r="H19" s="89"/>
      <c r="I19" s="89"/>
      <c r="J19" s="93"/>
      <c r="K19" s="93"/>
    </row>
    <row r="20" ht="23.25" customHeight="1">
      <c r="A20" s="77"/>
      <c r="B20" s="80">
        <v>10.0</v>
      </c>
      <c r="C20" s="29"/>
      <c r="D20" s="87" t="s">
        <v>46</v>
      </c>
      <c r="E20" s="73"/>
      <c r="F20" s="89" t="s">
        <v>47</v>
      </c>
      <c r="G20" s="89"/>
      <c r="H20" s="89"/>
      <c r="I20" s="89"/>
      <c r="J20" s="93"/>
      <c r="K20" s="93"/>
    </row>
    <row r="21" ht="23.25" customHeight="1">
      <c r="A21" s="77"/>
      <c r="B21" s="80">
        <v>11.0</v>
      </c>
      <c r="C21" s="29"/>
      <c r="D21" s="87" t="s">
        <v>52</v>
      </c>
      <c r="E21" s="73"/>
      <c r="F21" s="89" t="s">
        <v>53</v>
      </c>
      <c r="G21" s="89"/>
      <c r="H21" s="89"/>
      <c r="I21" s="89"/>
      <c r="J21" s="93"/>
      <c r="K21" s="93"/>
    </row>
    <row r="22" ht="23.25" customHeight="1">
      <c r="A22" s="77"/>
      <c r="B22" s="80">
        <v>12.0</v>
      </c>
      <c r="C22" s="29"/>
      <c r="D22" s="87" t="s">
        <v>56</v>
      </c>
      <c r="E22" s="73"/>
      <c r="F22" s="89" t="s">
        <v>57</v>
      </c>
      <c r="G22" s="89"/>
      <c r="H22" s="89"/>
      <c r="I22" s="89"/>
      <c r="J22" s="93"/>
      <c r="K22" s="93"/>
    </row>
    <row r="23" ht="23.25" customHeight="1">
      <c r="A23" s="77"/>
      <c r="B23" s="80">
        <v>13.0</v>
      </c>
      <c r="C23" s="29"/>
      <c r="D23" s="87" t="s">
        <v>59</v>
      </c>
      <c r="E23" s="73"/>
      <c r="F23" s="89" t="s">
        <v>60</v>
      </c>
      <c r="G23" s="89"/>
      <c r="H23" s="89"/>
      <c r="I23" s="89"/>
      <c r="J23" s="93"/>
      <c r="K23" s="93"/>
    </row>
    <row r="24" ht="23.25" customHeight="1">
      <c r="A24" s="77"/>
      <c r="B24" s="80">
        <v>14.0</v>
      </c>
      <c r="C24" s="29"/>
      <c r="D24" s="87" t="s">
        <v>63</v>
      </c>
      <c r="E24" s="73"/>
      <c r="F24" s="89" t="s">
        <v>64</v>
      </c>
      <c r="G24" s="89"/>
      <c r="H24" s="89"/>
      <c r="I24" s="89"/>
      <c r="J24" s="93"/>
      <c r="K24" s="93"/>
    </row>
    <row r="25" ht="23.25" customHeight="1">
      <c r="A25" s="77"/>
      <c r="B25" s="80">
        <v>15.0</v>
      </c>
      <c r="C25" s="29"/>
      <c r="D25" s="87" t="s">
        <v>65</v>
      </c>
      <c r="E25" s="73"/>
      <c r="F25" s="89" t="s">
        <v>66</v>
      </c>
      <c r="G25" s="89"/>
      <c r="H25" s="89"/>
      <c r="I25" s="89"/>
      <c r="J25" s="93"/>
      <c r="K25" s="93"/>
    </row>
    <row r="26" ht="23.25" customHeight="1">
      <c r="A26" s="77"/>
      <c r="B26" s="80">
        <v>16.0</v>
      </c>
      <c r="C26" s="29"/>
      <c r="D26" s="87" t="s">
        <v>69</v>
      </c>
      <c r="E26" s="73"/>
      <c r="F26" s="89" t="s">
        <v>70</v>
      </c>
      <c r="G26" s="89"/>
      <c r="H26" s="89"/>
      <c r="I26" s="89"/>
      <c r="J26" s="93"/>
      <c r="K26" s="93"/>
    </row>
    <row r="27" ht="23.25" customHeight="1">
      <c r="A27" s="77"/>
      <c r="B27" s="80">
        <v>17.0</v>
      </c>
      <c r="C27" s="29"/>
      <c r="D27" s="87" t="s">
        <v>73</v>
      </c>
      <c r="E27" s="73"/>
      <c r="F27" s="89" t="s">
        <v>75</v>
      </c>
      <c r="G27" s="89"/>
      <c r="H27" s="89"/>
      <c r="I27" s="89"/>
      <c r="J27" s="93"/>
      <c r="K27" s="93"/>
    </row>
    <row r="28" ht="23.25" customHeight="1">
      <c r="A28" s="77"/>
      <c r="B28" s="80">
        <v>18.0</v>
      </c>
      <c r="C28" s="29"/>
      <c r="D28" s="87" t="s">
        <v>80</v>
      </c>
      <c r="E28" s="73"/>
      <c r="F28" s="89" t="s">
        <v>81</v>
      </c>
      <c r="G28" s="89"/>
      <c r="H28" s="89"/>
      <c r="I28" s="89"/>
      <c r="J28" s="93"/>
      <c r="K28" s="93"/>
    </row>
    <row r="29" ht="23.25" customHeight="1">
      <c r="A29" s="77"/>
      <c r="B29" s="80">
        <v>19.0</v>
      </c>
      <c r="C29" s="29"/>
      <c r="D29" s="87" t="s">
        <v>85</v>
      </c>
      <c r="E29" s="73"/>
      <c r="F29" s="89" t="s">
        <v>86</v>
      </c>
      <c r="G29" s="89"/>
      <c r="H29" s="89"/>
      <c r="I29" s="89"/>
      <c r="J29" s="93"/>
      <c r="K29" s="93"/>
    </row>
    <row r="30" ht="23.25" customHeight="1">
      <c r="A30" s="77"/>
      <c r="B30" s="80">
        <v>20.0</v>
      </c>
      <c r="C30" s="29"/>
      <c r="D30" s="87" t="s">
        <v>90</v>
      </c>
      <c r="E30" s="73"/>
      <c r="F30" s="89" t="s">
        <v>91</v>
      </c>
      <c r="G30" s="89"/>
      <c r="H30" s="89"/>
      <c r="I30" s="89"/>
      <c r="J30" s="93"/>
      <c r="K30" s="93"/>
    </row>
    <row r="31" ht="23.25" customHeight="1">
      <c r="A31" s="77"/>
      <c r="B31" s="80">
        <v>21.0</v>
      </c>
      <c r="C31" s="29"/>
      <c r="D31" s="87" t="s">
        <v>95</v>
      </c>
      <c r="E31" s="73"/>
      <c r="F31" s="89" t="s">
        <v>96</v>
      </c>
      <c r="G31" s="89"/>
      <c r="H31" s="89"/>
      <c r="I31" s="89"/>
      <c r="J31" s="93"/>
      <c r="K31" s="93"/>
    </row>
    <row r="32" ht="23.25" customHeight="1">
      <c r="A32" s="77"/>
      <c r="B32" s="80">
        <v>22.0</v>
      </c>
      <c r="C32" s="29"/>
      <c r="D32" s="87" t="s">
        <v>101</v>
      </c>
      <c r="E32" s="73"/>
      <c r="F32" s="89" t="s">
        <v>102</v>
      </c>
      <c r="G32" s="89"/>
      <c r="H32" s="89"/>
      <c r="I32" s="89"/>
      <c r="J32" s="93"/>
      <c r="K32" s="93"/>
    </row>
    <row r="33" ht="23.25" customHeight="1">
      <c r="A33" s="77"/>
      <c r="B33" s="80">
        <v>23.0</v>
      </c>
      <c r="C33" s="29"/>
      <c r="D33" s="87" t="s">
        <v>109</v>
      </c>
      <c r="E33" s="73"/>
      <c r="F33" s="89" t="s">
        <v>241</v>
      </c>
      <c r="G33" s="89"/>
      <c r="H33" s="89"/>
      <c r="I33" s="89"/>
      <c r="J33" s="93"/>
      <c r="K33" s="93"/>
    </row>
    <row r="34" ht="23.25" customHeight="1">
      <c r="A34" s="77"/>
      <c r="B34" s="80">
        <v>24.0</v>
      </c>
      <c r="C34" s="21"/>
      <c r="D34" s="87" t="s">
        <v>112</v>
      </c>
      <c r="E34" s="73"/>
      <c r="F34" s="89" t="s">
        <v>113</v>
      </c>
      <c r="G34" s="89"/>
      <c r="H34" s="89"/>
      <c r="I34" s="89"/>
      <c r="J34" s="93"/>
      <c r="K34" s="93"/>
    </row>
    <row r="35" ht="23.25" customHeight="1">
      <c r="A35" s="77"/>
      <c r="B35" s="80">
        <v>25.0</v>
      </c>
      <c r="C35" s="83" t="s">
        <v>244</v>
      </c>
      <c r="D35" s="87" t="s">
        <v>117</v>
      </c>
      <c r="E35" s="73"/>
      <c r="F35" s="89" t="s">
        <v>118</v>
      </c>
      <c r="G35" s="89"/>
      <c r="H35" s="89"/>
      <c r="I35" s="89"/>
      <c r="J35" s="93"/>
      <c r="K35" s="93"/>
    </row>
    <row r="36" ht="23.25" customHeight="1">
      <c r="A36" s="77"/>
      <c r="B36" s="80">
        <v>26.0</v>
      </c>
      <c r="C36" s="29"/>
      <c r="D36" s="87" t="s">
        <v>120</v>
      </c>
      <c r="E36" s="73"/>
      <c r="F36" s="89" t="s">
        <v>121</v>
      </c>
      <c r="G36" s="89"/>
      <c r="H36" s="89"/>
      <c r="I36" s="89"/>
      <c r="J36" s="93"/>
      <c r="K36" s="93"/>
    </row>
    <row r="37" ht="23.25" customHeight="1">
      <c r="A37" s="77"/>
      <c r="B37" s="80">
        <v>27.0</v>
      </c>
      <c r="C37" s="29"/>
      <c r="D37" s="87" t="s">
        <v>124</v>
      </c>
      <c r="E37" s="73"/>
      <c r="F37" s="89" t="s">
        <v>125</v>
      </c>
      <c r="G37" s="89"/>
      <c r="H37" s="89"/>
      <c r="I37" s="89"/>
      <c r="J37" s="93"/>
      <c r="K37" s="93"/>
    </row>
    <row r="38" ht="23.25" customHeight="1">
      <c r="A38" s="77"/>
      <c r="B38" s="80">
        <v>28.0</v>
      </c>
      <c r="C38" s="29"/>
      <c r="D38" s="87" t="s">
        <v>130</v>
      </c>
      <c r="E38" s="73"/>
      <c r="F38" s="89" t="s">
        <v>252</v>
      </c>
      <c r="G38" s="89"/>
      <c r="H38" s="89"/>
      <c r="I38" s="89"/>
      <c r="J38" s="93"/>
      <c r="K38" s="93"/>
    </row>
    <row r="39" ht="23.25" customHeight="1">
      <c r="A39" s="77"/>
      <c r="B39" s="80">
        <v>29.0</v>
      </c>
      <c r="C39" s="29"/>
      <c r="D39" s="87" t="s">
        <v>134</v>
      </c>
      <c r="E39" s="73"/>
      <c r="F39" s="89" t="s">
        <v>255</v>
      </c>
      <c r="G39" s="89"/>
      <c r="H39" s="89"/>
      <c r="I39" s="89"/>
      <c r="J39" s="93"/>
      <c r="K39" s="93"/>
    </row>
    <row r="40" ht="23.25" customHeight="1">
      <c r="A40" s="77"/>
      <c r="B40" s="80">
        <v>30.0</v>
      </c>
      <c r="C40" s="29"/>
      <c r="D40" s="87" t="s">
        <v>139</v>
      </c>
      <c r="E40" s="73"/>
      <c r="F40" s="89" t="s">
        <v>140</v>
      </c>
      <c r="G40" s="89"/>
      <c r="H40" s="89"/>
      <c r="I40" s="89"/>
      <c r="J40" s="93"/>
      <c r="K40" s="93"/>
    </row>
    <row r="41" ht="23.25" customHeight="1">
      <c r="A41" s="77"/>
      <c r="B41" s="80">
        <v>31.0</v>
      </c>
      <c r="C41" s="21"/>
      <c r="D41" s="87" t="s">
        <v>144</v>
      </c>
      <c r="E41" s="73"/>
      <c r="F41" s="89" t="s">
        <v>260</v>
      </c>
      <c r="G41" s="89"/>
      <c r="H41" s="89"/>
      <c r="I41" s="89"/>
      <c r="J41" s="93"/>
      <c r="K41" s="93"/>
    </row>
    <row r="42" ht="23.25" customHeight="1">
      <c r="A42" s="77"/>
      <c r="B42" s="80">
        <v>32.0</v>
      </c>
      <c r="C42" s="83" t="s">
        <v>261</v>
      </c>
      <c r="D42" s="87" t="s">
        <v>151</v>
      </c>
      <c r="E42" s="73"/>
      <c r="F42" s="89" t="s">
        <v>152</v>
      </c>
      <c r="G42" s="89"/>
      <c r="H42" s="89"/>
      <c r="I42" s="89"/>
      <c r="J42" s="93"/>
      <c r="K42" s="93"/>
    </row>
    <row r="43" ht="23.25" customHeight="1">
      <c r="A43" s="77"/>
      <c r="B43" s="80">
        <v>33.0</v>
      </c>
      <c r="C43" s="29"/>
      <c r="D43" s="87" t="s">
        <v>157</v>
      </c>
      <c r="E43" s="73"/>
      <c r="F43" s="89" t="s">
        <v>264</v>
      </c>
      <c r="G43" s="89"/>
      <c r="H43" s="89"/>
      <c r="I43" s="89"/>
      <c r="J43" s="93"/>
      <c r="K43" s="93"/>
    </row>
    <row r="44" ht="23.25" customHeight="1">
      <c r="A44" s="77"/>
      <c r="B44" s="80">
        <v>34.0</v>
      </c>
      <c r="C44" s="21"/>
      <c r="D44" s="87" t="s">
        <v>162</v>
      </c>
      <c r="E44" s="73"/>
      <c r="F44" s="89" t="s">
        <v>163</v>
      </c>
      <c r="G44" s="89"/>
      <c r="H44" s="89"/>
      <c r="I44" s="89"/>
      <c r="J44" s="93"/>
      <c r="K44" s="93"/>
    </row>
    <row r="45" ht="23.25" customHeight="1">
      <c r="A45" s="77"/>
      <c r="B45" s="80">
        <v>35.0</v>
      </c>
      <c r="C45" s="182" t="s">
        <v>265</v>
      </c>
      <c r="D45" s="87" t="s">
        <v>170</v>
      </c>
      <c r="E45" s="73"/>
      <c r="F45" s="89" t="s">
        <v>171</v>
      </c>
      <c r="G45" s="89"/>
      <c r="H45" s="89"/>
      <c r="I45" s="89"/>
      <c r="J45" s="93"/>
      <c r="K45" s="93"/>
    </row>
    <row r="46" ht="10.5" customHeight="1">
      <c r="A46" s="24"/>
      <c r="B46" s="49"/>
      <c r="C46" s="47"/>
      <c r="D46" s="49"/>
      <c r="E46" s="49"/>
      <c r="F46" s="49"/>
      <c r="G46" s="49"/>
      <c r="H46" s="49"/>
      <c r="I46" s="49"/>
      <c r="J46" s="22"/>
      <c r="K46" s="22"/>
    </row>
    <row r="47" ht="30.0" customHeight="1">
      <c r="A47" s="24"/>
      <c r="B47" s="49" t="s">
        <v>267</v>
      </c>
      <c r="J47" s="22"/>
      <c r="K47" s="22"/>
    </row>
    <row r="48" ht="30.0" customHeight="1">
      <c r="A48" s="22"/>
      <c r="B48" s="188" t="s">
        <v>269</v>
      </c>
      <c r="J48" s="22"/>
      <c r="K48" s="22"/>
    </row>
    <row r="49" ht="18.0" customHeight="1">
      <c r="A49" s="189"/>
      <c r="B49" s="191"/>
      <c r="E49" s="191"/>
      <c r="F49" s="191" t="s">
        <v>271</v>
      </c>
      <c r="G49" s="191"/>
      <c r="H49" s="191" t="s">
        <v>272</v>
      </c>
      <c r="J49" s="195"/>
      <c r="K49" s="22"/>
    </row>
    <row r="50" ht="18.0" customHeight="1">
      <c r="A50" s="189"/>
      <c r="B50" s="197"/>
      <c r="E50" s="22"/>
      <c r="F50" s="197" t="s">
        <v>275</v>
      </c>
      <c r="G50" s="197"/>
      <c r="H50" s="197" t="s">
        <v>275</v>
      </c>
      <c r="J50" s="198"/>
      <c r="K50" s="22"/>
    </row>
    <row r="51" ht="33.75" customHeight="1">
      <c r="A51" s="189"/>
      <c r="B51" s="189"/>
      <c r="C51" s="199"/>
      <c r="D51" s="22"/>
      <c r="E51" s="22"/>
      <c r="F51" s="22"/>
      <c r="G51" s="199"/>
      <c r="H51" s="199"/>
      <c r="I51" s="24"/>
      <c r="J51" s="22"/>
      <c r="K51" s="22"/>
    </row>
  </sheetData>
  <mergeCells count="55">
    <mergeCell ref="D30:E30"/>
    <mergeCell ref="D31:E31"/>
    <mergeCell ref="D32:E32"/>
    <mergeCell ref="D33:E33"/>
    <mergeCell ref="C18:C34"/>
    <mergeCell ref="C35:C41"/>
    <mergeCell ref="C42:C44"/>
    <mergeCell ref="D16:E16"/>
    <mergeCell ref="D17:E17"/>
    <mergeCell ref="D18:E18"/>
    <mergeCell ref="D19:E19"/>
    <mergeCell ref="D20:E20"/>
    <mergeCell ref="D21:E21"/>
    <mergeCell ref="D34:E34"/>
    <mergeCell ref="D42:E42"/>
    <mergeCell ref="D43:E43"/>
    <mergeCell ref="D44:E44"/>
    <mergeCell ref="D45:E45"/>
    <mergeCell ref="D35:E35"/>
    <mergeCell ref="D36:E36"/>
    <mergeCell ref="D37:E37"/>
    <mergeCell ref="D38:E38"/>
    <mergeCell ref="D39:E39"/>
    <mergeCell ref="D40:E40"/>
    <mergeCell ref="D41:E41"/>
    <mergeCell ref="B1:D4"/>
    <mergeCell ref="E1:H1"/>
    <mergeCell ref="E2:H2"/>
    <mergeCell ref="E3:H4"/>
    <mergeCell ref="B5:I5"/>
    <mergeCell ref="H6:I6"/>
    <mergeCell ref="B8:I8"/>
    <mergeCell ref="D14:E14"/>
    <mergeCell ref="D15:E15"/>
    <mergeCell ref="B9:I9"/>
    <mergeCell ref="D10:E10"/>
    <mergeCell ref="C11:C13"/>
    <mergeCell ref="D11:E11"/>
    <mergeCell ref="D12:E12"/>
    <mergeCell ref="D13:E13"/>
    <mergeCell ref="C14:C17"/>
    <mergeCell ref="D22:E22"/>
    <mergeCell ref="D23:E23"/>
    <mergeCell ref="D24:E24"/>
    <mergeCell ref="D25:E25"/>
    <mergeCell ref="D26:E26"/>
    <mergeCell ref="D27:E27"/>
    <mergeCell ref="D28:E28"/>
    <mergeCell ref="D29:E29"/>
    <mergeCell ref="B47:I47"/>
    <mergeCell ref="B48:I48"/>
    <mergeCell ref="B49:D49"/>
    <mergeCell ref="H49:I49"/>
    <mergeCell ref="B50:D50"/>
    <mergeCell ref="H50:I50"/>
  </mergeCells>
  <printOptions/>
  <pageMargins bottom="0.75" footer="0.0" header="0.0" left="0.25" right="0.25" top="0.75"/>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35.88"/>
    <col customWidth="1" min="4" max="4" width="49.25"/>
    <col customWidth="1" min="5" max="5" width="15.63"/>
    <col customWidth="1" min="6" max="6" width="59.5"/>
  </cols>
  <sheetData>
    <row r="2">
      <c r="B2" s="1" t="s">
        <v>0</v>
      </c>
      <c r="C2" s="1" t="s">
        <v>1</v>
      </c>
      <c r="D2" s="1" t="s">
        <v>2</v>
      </c>
      <c r="E2" s="1" t="s">
        <v>3</v>
      </c>
      <c r="F2" s="1" t="s">
        <v>4</v>
      </c>
      <c r="G2" s="1" t="s">
        <v>5</v>
      </c>
      <c r="H2" s="1" t="s">
        <v>6</v>
      </c>
      <c r="I2" s="1" t="s">
        <v>7</v>
      </c>
      <c r="J2" s="1" t="s">
        <v>8</v>
      </c>
      <c r="K2" s="1" t="s">
        <v>9</v>
      </c>
    </row>
    <row r="3">
      <c r="B3" s="1" t="s">
        <v>10</v>
      </c>
      <c r="C3" s="1" t="s">
        <v>11</v>
      </c>
      <c r="D3" s="1" t="s">
        <v>12</v>
      </c>
      <c r="E3" s="1" t="s">
        <v>13</v>
      </c>
      <c r="F3" s="1" t="s">
        <v>14</v>
      </c>
      <c r="G3" s="1"/>
      <c r="H3" s="1"/>
      <c r="I3" s="1" t="s">
        <v>15</v>
      </c>
      <c r="J3" s="1" t="s">
        <v>15</v>
      </c>
      <c r="K3" s="1" t="s">
        <v>15</v>
      </c>
      <c r="L3" s="1" t="s">
        <v>15</v>
      </c>
    </row>
    <row r="4">
      <c r="B4" s="1" t="s">
        <v>10</v>
      </c>
      <c r="C4" s="1" t="s">
        <v>16</v>
      </c>
      <c r="D4" s="1" t="s">
        <v>17</v>
      </c>
      <c r="E4" s="1" t="s">
        <v>13</v>
      </c>
      <c r="F4" s="1" t="s">
        <v>14</v>
      </c>
      <c r="G4" s="1"/>
      <c r="H4" s="1"/>
      <c r="I4" s="1" t="s">
        <v>15</v>
      </c>
      <c r="J4" s="1" t="s">
        <v>15</v>
      </c>
      <c r="K4" s="1" t="s">
        <v>15</v>
      </c>
      <c r="L4" s="1" t="s">
        <v>15</v>
      </c>
    </row>
    <row r="5">
      <c r="B5" s="1" t="s">
        <v>10</v>
      </c>
      <c r="C5" s="1" t="s">
        <v>18</v>
      </c>
      <c r="D5" s="1" t="s">
        <v>19</v>
      </c>
      <c r="E5" s="1" t="s">
        <v>20</v>
      </c>
      <c r="F5" s="1" t="s">
        <v>21</v>
      </c>
      <c r="G5" s="1"/>
      <c r="H5" s="1"/>
      <c r="I5" s="1" t="s">
        <v>15</v>
      </c>
      <c r="J5" s="1" t="s">
        <v>15</v>
      </c>
      <c r="K5" s="1" t="s">
        <v>15</v>
      </c>
      <c r="L5" s="1" t="s">
        <v>15</v>
      </c>
    </row>
    <row r="6">
      <c r="B6" s="1" t="s">
        <v>10</v>
      </c>
      <c r="C6" s="1" t="s">
        <v>23</v>
      </c>
      <c r="D6" s="1" t="s">
        <v>24</v>
      </c>
      <c r="E6" s="1" t="s">
        <v>13</v>
      </c>
      <c r="F6" s="1" t="s">
        <v>14</v>
      </c>
      <c r="G6" s="1"/>
      <c r="H6" s="1"/>
      <c r="I6" s="1" t="s">
        <v>15</v>
      </c>
      <c r="J6" s="1" t="s">
        <v>15</v>
      </c>
      <c r="K6" s="1" t="s">
        <v>15</v>
      </c>
      <c r="L6" s="1" t="s">
        <v>15</v>
      </c>
    </row>
    <row r="7">
      <c r="B7" s="1" t="s">
        <v>10</v>
      </c>
      <c r="C7" s="1" t="s">
        <v>25</v>
      </c>
      <c r="D7" s="1" t="s">
        <v>26</v>
      </c>
      <c r="E7" s="1" t="s">
        <v>20</v>
      </c>
      <c r="F7" s="1" t="s">
        <v>27</v>
      </c>
      <c r="G7" s="1"/>
      <c r="H7" s="1"/>
      <c r="I7" s="1" t="s">
        <v>15</v>
      </c>
      <c r="J7" s="1" t="s">
        <v>15</v>
      </c>
      <c r="K7" s="1" t="s">
        <v>15</v>
      </c>
      <c r="L7" s="1" t="s">
        <v>15</v>
      </c>
    </row>
    <row r="8">
      <c r="B8" s="1" t="s">
        <v>10</v>
      </c>
      <c r="C8" s="1" t="s">
        <v>30</v>
      </c>
      <c r="D8" s="1" t="s">
        <v>31</v>
      </c>
      <c r="E8" s="1" t="s">
        <v>13</v>
      </c>
      <c r="F8" s="1" t="s">
        <v>32</v>
      </c>
      <c r="G8" s="1"/>
      <c r="H8" s="1"/>
      <c r="I8" s="1" t="s">
        <v>15</v>
      </c>
      <c r="J8" s="1" t="s">
        <v>15</v>
      </c>
      <c r="K8" s="1" t="s">
        <v>15</v>
      </c>
      <c r="L8" s="1" t="s">
        <v>15</v>
      </c>
    </row>
    <row r="9">
      <c r="A9" s="17"/>
      <c r="B9" s="20" t="s">
        <v>35</v>
      </c>
      <c r="C9" s="20" t="s">
        <v>36</v>
      </c>
      <c r="D9" s="20" t="s">
        <v>37</v>
      </c>
      <c r="E9" s="20" t="s">
        <v>20</v>
      </c>
      <c r="F9" s="20" t="s">
        <v>38</v>
      </c>
      <c r="G9" s="20"/>
      <c r="H9" s="20"/>
      <c r="I9" s="20" t="s">
        <v>15</v>
      </c>
      <c r="J9" s="20" t="s">
        <v>15</v>
      </c>
      <c r="K9" s="20" t="s">
        <v>15</v>
      </c>
      <c r="L9" s="20" t="s">
        <v>15</v>
      </c>
      <c r="M9" s="17"/>
      <c r="N9" s="17"/>
      <c r="O9" s="17"/>
      <c r="P9" s="17"/>
      <c r="Q9" s="17"/>
      <c r="R9" s="17"/>
      <c r="S9" s="17"/>
      <c r="T9" s="17"/>
      <c r="U9" s="17"/>
      <c r="V9" s="17"/>
      <c r="W9" s="17"/>
      <c r="X9" s="17"/>
      <c r="Y9" s="17"/>
      <c r="Z9" s="17"/>
    </row>
    <row r="10">
      <c r="A10" s="17"/>
      <c r="B10" s="20" t="s">
        <v>35</v>
      </c>
      <c r="C10" s="20" t="s">
        <v>39</v>
      </c>
      <c r="D10" s="20" t="s">
        <v>40</v>
      </c>
      <c r="E10" s="20" t="s">
        <v>20</v>
      </c>
      <c r="F10" s="20" t="s">
        <v>41</v>
      </c>
      <c r="G10" s="20"/>
      <c r="H10" s="20"/>
      <c r="I10" s="20" t="s">
        <v>15</v>
      </c>
      <c r="J10" s="20" t="s">
        <v>15</v>
      </c>
      <c r="K10" s="20" t="s">
        <v>15</v>
      </c>
      <c r="L10" s="20" t="s">
        <v>15</v>
      </c>
      <c r="M10" s="17"/>
      <c r="N10" s="17"/>
      <c r="O10" s="17"/>
      <c r="P10" s="17"/>
      <c r="Q10" s="17"/>
      <c r="R10" s="17"/>
      <c r="S10" s="17"/>
      <c r="T10" s="17"/>
      <c r="U10" s="17"/>
      <c r="V10" s="17"/>
      <c r="W10" s="17"/>
      <c r="X10" s="17"/>
      <c r="Y10" s="17"/>
      <c r="Z10" s="17"/>
    </row>
    <row r="11">
      <c r="A11" s="17"/>
      <c r="B11" s="20" t="s">
        <v>35</v>
      </c>
      <c r="C11" s="20" t="s">
        <v>46</v>
      </c>
      <c r="D11" s="20" t="s">
        <v>47</v>
      </c>
      <c r="E11" s="20" t="s">
        <v>13</v>
      </c>
      <c r="F11" s="20" t="s">
        <v>48</v>
      </c>
      <c r="G11" s="20"/>
      <c r="H11" s="20"/>
      <c r="I11" s="20" t="s">
        <v>15</v>
      </c>
      <c r="J11" s="20" t="s">
        <v>15</v>
      </c>
      <c r="K11" s="20" t="s">
        <v>15</v>
      </c>
      <c r="L11" s="20" t="s">
        <v>15</v>
      </c>
      <c r="M11" s="17"/>
      <c r="N11" s="17"/>
      <c r="O11" s="17"/>
      <c r="P11" s="17"/>
      <c r="Q11" s="17"/>
      <c r="R11" s="17"/>
      <c r="S11" s="17"/>
      <c r="T11" s="17"/>
      <c r="U11" s="17"/>
      <c r="V11" s="17"/>
      <c r="W11" s="17"/>
      <c r="X11" s="17"/>
      <c r="Y11" s="17"/>
      <c r="Z11" s="17"/>
    </row>
    <row r="12">
      <c r="A12" s="17"/>
      <c r="B12" s="20" t="s">
        <v>35</v>
      </c>
      <c r="C12" s="20" t="s">
        <v>52</v>
      </c>
      <c r="D12" s="20" t="s">
        <v>53</v>
      </c>
      <c r="E12" s="20" t="s">
        <v>20</v>
      </c>
      <c r="F12" s="20" t="s">
        <v>54</v>
      </c>
      <c r="G12" s="20"/>
      <c r="H12" s="20"/>
      <c r="I12" s="20" t="s">
        <v>15</v>
      </c>
      <c r="J12" s="20" t="s">
        <v>15</v>
      </c>
      <c r="K12" s="20" t="s">
        <v>15</v>
      </c>
      <c r="L12" s="20" t="s">
        <v>15</v>
      </c>
      <c r="M12" s="17"/>
      <c r="N12" s="17"/>
      <c r="O12" s="17"/>
      <c r="P12" s="17"/>
      <c r="Q12" s="17"/>
      <c r="R12" s="17"/>
      <c r="S12" s="17"/>
      <c r="T12" s="17"/>
      <c r="U12" s="17"/>
      <c r="V12" s="17"/>
      <c r="W12" s="17"/>
      <c r="X12" s="17"/>
      <c r="Y12" s="17"/>
      <c r="Z12" s="17"/>
    </row>
    <row r="13">
      <c r="A13" s="17"/>
      <c r="B13" s="20" t="s">
        <v>35</v>
      </c>
      <c r="C13" s="20" t="s">
        <v>56</v>
      </c>
      <c r="D13" s="20" t="s">
        <v>57</v>
      </c>
      <c r="E13" s="20" t="s">
        <v>20</v>
      </c>
      <c r="F13" s="20" t="s">
        <v>58</v>
      </c>
      <c r="G13" s="20"/>
      <c r="H13" s="20"/>
      <c r="I13" s="20" t="s">
        <v>15</v>
      </c>
      <c r="J13" s="20" t="s">
        <v>15</v>
      </c>
      <c r="K13" s="20" t="s">
        <v>15</v>
      </c>
      <c r="L13" s="20" t="s">
        <v>15</v>
      </c>
      <c r="M13" s="17"/>
      <c r="N13" s="17"/>
      <c r="O13" s="17"/>
      <c r="P13" s="17"/>
      <c r="Q13" s="17"/>
      <c r="R13" s="17"/>
      <c r="S13" s="17"/>
      <c r="T13" s="17"/>
      <c r="U13" s="17"/>
      <c r="V13" s="17"/>
      <c r="W13" s="17"/>
      <c r="X13" s="17"/>
      <c r="Y13" s="17"/>
      <c r="Z13" s="17"/>
    </row>
    <row r="14">
      <c r="A14" s="17"/>
      <c r="B14" s="20" t="s">
        <v>35</v>
      </c>
      <c r="C14" s="20" t="s">
        <v>59</v>
      </c>
      <c r="D14" s="20" t="s">
        <v>60</v>
      </c>
      <c r="E14" s="20" t="s">
        <v>20</v>
      </c>
      <c r="F14" s="20" t="s">
        <v>54</v>
      </c>
      <c r="G14" s="20"/>
      <c r="H14" s="20"/>
      <c r="I14" s="20" t="s">
        <v>15</v>
      </c>
      <c r="J14" s="20" t="s">
        <v>15</v>
      </c>
      <c r="K14" s="20" t="s">
        <v>15</v>
      </c>
      <c r="L14" s="20" t="s">
        <v>15</v>
      </c>
      <c r="M14" s="17"/>
      <c r="N14" s="17"/>
      <c r="O14" s="17"/>
      <c r="P14" s="17"/>
      <c r="Q14" s="17"/>
      <c r="R14" s="17"/>
      <c r="S14" s="17"/>
      <c r="T14" s="17"/>
      <c r="U14" s="17"/>
      <c r="V14" s="17"/>
      <c r="W14" s="17"/>
      <c r="X14" s="17"/>
      <c r="Y14" s="17"/>
      <c r="Z14" s="17"/>
    </row>
    <row r="15">
      <c r="A15" s="17"/>
      <c r="B15" s="20" t="s">
        <v>35</v>
      </c>
      <c r="C15" s="20" t="s">
        <v>63</v>
      </c>
      <c r="D15" s="20" t="s">
        <v>64</v>
      </c>
      <c r="E15" s="20" t="s">
        <v>20</v>
      </c>
      <c r="F15" s="20" t="s">
        <v>54</v>
      </c>
      <c r="G15" s="20"/>
      <c r="H15" s="20"/>
      <c r="I15" s="20" t="s">
        <v>15</v>
      </c>
      <c r="J15" s="20" t="s">
        <v>15</v>
      </c>
      <c r="K15" s="20" t="s">
        <v>15</v>
      </c>
      <c r="L15" s="20" t="s">
        <v>15</v>
      </c>
      <c r="M15" s="17"/>
      <c r="N15" s="17"/>
      <c r="O15" s="17"/>
      <c r="P15" s="17"/>
      <c r="Q15" s="17"/>
      <c r="R15" s="17"/>
      <c r="S15" s="17"/>
      <c r="T15" s="17"/>
      <c r="U15" s="17"/>
      <c r="V15" s="17"/>
      <c r="W15" s="17"/>
      <c r="X15" s="17"/>
      <c r="Y15" s="17"/>
      <c r="Z15" s="17"/>
    </row>
    <row r="16">
      <c r="A16" s="17"/>
      <c r="B16" s="20" t="s">
        <v>35</v>
      </c>
      <c r="C16" s="20" t="s">
        <v>65</v>
      </c>
      <c r="D16" s="20" t="s">
        <v>66</v>
      </c>
      <c r="E16" s="20" t="s">
        <v>20</v>
      </c>
      <c r="F16" s="20" t="s">
        <v>67</v>
      </c>
      <c r="G16" s="20"/>
      <c r="H16" s="20"/>
      <c r="I16" s="20" t="s">
        <v>15</v>
      </c>
      <c r="J16" s="20" t="s">
        <v>15</v>
      </c>
      <c r="K16" s="20" t="s">
        <v>15</v>
      </c>
      <c r="L16" s="20" t="s">
        <v>15</v>
      </c>
      <c r="M16" s="17"/>
      <c r="N16" s="17"/>
      <c r="O16" s="17"/>
      <c r="P16" s="17"/>
      <c r="Q16" s="17"/>
      <c r="R16" s="17"/>
      <c r="S16" s="17"/>
      <c r="T16" s="17"/>
      <c r="U16" s="17"/>
      <c r="V16" s="17"/>
      <c r="W16" s="17"/>
      <c r="X16" s="17"/>
      <c r="Y16" s="17"/>
      <c r="Z16" s="17"/>
    </row>
    <row r="17">
      <c r="A17" s="17"/>
      <c r="B17" s="20" t="s">
        <v>35</v>
      </c>
      <c r="C17" s="20" t="s">
        <v>69</v>
      </c>
      <c r="D17" s="20" t="s">
        <v>70</v>
      </c>
      <c r="E17" s="20" t="s">
        <v>20</v>
      </c>
      <c r="F17" s="20" t="s">
        <v>71</v>
      </c>
      <c r="G17" s="20"/>
      <c r="H17" s="20"/>
      <c r="I17" s="20" t="s">
        <v>15</v>
      </c>
      <c r="J17" s="20" t="s">
        <v>15</v>
      </c>
      <c r="K17" s="20" t="s">
        <v>15</v>
      </c>
      <c r="L17" s="20" t="s">
        <v>15</v>
      </c>
      <c r="M17" s="17"/>
      <c r="N17" s="17"/>
      <c r="O17" s="17"/>
      <c r="P17" s="17"/>
      <c r="Q17" s="17"/>
      <c r="R17" s="17"/>
      <c r="S17" s="17"/>
      <c r="T17" s="17"/>
      <c r="U17" s="17"/>
      <c r="V17" s="17"/>
      <c r="W17" s="17"/>
      <c r="X17" s="17"/>
      <c r="Y17" s="17"/>
      <c r="Z17" s="17"/>
    </row>
    <row r="18">
      <c r="A18" s="17"/>
      <c r="B18" s="20" t="s">
        <v>35</v>
      </c>
      <c r="C18" s="20" t="s">
        <v>73</v>
      </c>
      <c r="D18" s="20" t="s">
        <v>75</v>
      </c>
      <c r="E18" s="20" t="s">
        <v>13</v>
      </c>
      <c r="F18" s="20" t="s">
        <v>77</v>
      </c>
      <c r="G18" s="20"/>
      <c r="H18" s="20"/>
      <c r="I18" s="20" t="s">
        <v>15</v>
      </c>
      <c r="J18" s="20" t="s">
        <v>15</v>
      </c>
      <c r="K18" s="20" t="s">
        <v>15</v>
      </c>
      <c r="L18" s="20" t="s">
        <v>15</v>
      </c>
      <c r="M18" s="17"/>
      <c r="N18" s="17"/>
      <c r="O18" s="17"/>
      <c r="P18" s="17"/>
      <c r="Q18" s="17"/>
      <c r="R18" s="17"/>
      <c r="S18" s="17"/>
      <c r="T18" s="17"/>
      <c r="U18" s="17"/>
      <c r="V18" s="17"/>
      <c r="W18" s="17"/>
      <c r="X18" s="17"/>
      <c r="Y18" s="17"/>
      <c r="Z18" s="17"/>
    </row>
    <row r="19">
      <c r="A19" s="17"/>
      <c r="B19" s="20" t="s">
        <v>35</v>
      </c>
      <c r="C19" s="20" t="s">
        <v>80</v>
      </c>
      <c r="D19" s="20" t="s">
        <v>81</v>
      </c>
      <c r="E19" s="20" t="s">
        <v>20</v>
      </c>
      <c r="F19" s="20" t="s">
        <v>82</v>
      </c>
      <c r="G19" s="20"/>
      <c r="H19" s="20"/>
      <c r="I19" s="20" t="s">
        <v>15</v>
      </c>
      <c r="J19" s="20" t="s">
        <v>15</v>
      </c>
      <c r="K19" s="20" t="s">
        <v>15</v>
      </c>
      <c r="L19" s="20" t="s">
        <v>15</v>
      </c>
      <c r="M19" s="17"/>
      <c r="N19" s="17"/>
      <c r="O19" s="17"/>
      <c r="P19" s="17"/>
      <c r="Q19" s="17"/>
      <c r="R19" s="17"/>
      <c r="S19" s="17"/>
      <c r="T19" s="17"/>
      <c r="U19" s="17"/>
      <c r="V19" s="17"/>
      <c r="W19" s="17"/>
      <c r="X19" s="17"/>
      <c r="Y19" s="17"/>
      <c r="Z19" s="17"/>
    </row>
    <row r="20">
      <c r="A20" s="17"/>
      <c r="B20" s="20" t="s">
        <v>35</v>
      </c>
      <c r="C20" s="20" t="s">
        <v>85</v>
      </c>
      <c r="D20" s="20" t="s">
        <v>86</v>
      </c>
      <c r="E20" s="20" t="s">
        <v>20</v>
      </c>
      <c r="F20" s="20" t="s">
        <v>87</v>
      </c>
      <c r="G20" s="20"/>
      <c r="H20" s="20"/>
      <c r="I20" s="20" t="s">
        <v>15</v>
      </c>
      <c r="J20" s="20" t="s">
        <v>15</v>
      </c>
      <c r="K20" s="20" t="s">
        <v>15</v>
      </c>
      <c r="L20" s="20" t="s">
        <v>15</v>
      </c>
      <c r="M20" s="17"/>
      <c r="N20" s="17"/>
      <c r="O20" s="17"/>
      <c r="P20" s="17"/>
      <c r="Q20" s="17"/>
      <c r="R20" s="17"/>
      <c r="S20" s="17"/>
      <c r="T20" s="17"/>
      <c r="U20" s="17"/>
      <c r="V20" s="17"/>
      <c r="W20" s="17"/>
      <c r="X20" s="17"/>
      <c r="Y20" s="17"/>
      <c r="Z20" s="17"/>
    </row>
    <row r="21">
      <c r="A21" s="17"/>
      <c r="B21" s="20" t="s">
        <v>35</v>
      </c>
      <c r="C21" s="20" t="s">
        <v>90</v>
      </c>
      <c r="D21" s="20" t="s">
        <v>91</v>
      </c>
      <c r="E21" s="20" t="s">
        <v>20</v>
      </c>
      <c r="F21" s="20" t="s">
        <v>92</v>
      </c>
      <c r="G21" s="20"/>
      <c r="H21" s="20"/>
      <c r="I21" s="20" t="s">
        <v>15</v>
      </c>
      <c r="J21" s="20" t="s">
        <v>15</v>
      </c>
      <c r="K21" s="20" t="s">
        <v>15</v>
      </c>
      <c r="L21" s="20" t="s">
        <v>15</v>
      </c>
      <c r="M21" s="17"/>
      <c r="N21" s="17"/>
      <c r="O21" s="17"/>
      <c r="P21" s="17"/>
      <c r="Q21" s="17"/>
      <c r="R21" s="17"/>
      <c r="S21" s="17"/>
      <c r="T21" s="17"/>
      <c r="U21" s="17"/>
      <c r="V21" s="17"/>
      <c r="W21" s="17"/>
      <c r="X21" s="17"/>
      <c r="Y21" s="17"/>
      <c r="Z21" s="17"/>
    </row>
    <row r="22">
      <c r="A22" s="17"/>
      <c r="B22" s="20" t="s">
        <v>35</v>
      </c>
      <c r="C22" s="20" t="s">
        <v>95</v>
      </c>
      <c r="D22" s="20" t="s">
        <v>96</v>
      </c>
      <c r="E22" s="20" t="s">
        <v>20</v>
      </c>
      <c r="F22" s="20" t="s">
        <v>98</v>
      </c>
      <c r="G22" s="20"/>
      <c r="H22" s="20"/>
      <c r="I22" s="20" t="s">
        <v>15</v>
      </c>
      <c r="J22" s="20" t="s">
        <v>15</v>
      </c>
      <c r="K22" s="20" t="s">
        <v>15</v>
      </c>
      <c r="L22" s="20" t="s">
        <v>15</v>
      </c>
      <c r="M22" s="17"/>
      <c r="N22" s="17"/>
      <c r="O22" s="17"/>
      <c r="P22" s="17"/>
      <c r="Q22" s="17"/>
      <c r="R22" s="17"/>
      <c r="S22" s="17"/>
      <c r="T22" s="17"/>
      <c r="U22" s="17"/>
      <c r="V22" s="17"/>
      <c r="W22" s="17"/>
      <c r="X22" s="17"/>
      <c r="Y22" s="17"/>
      <c r="Z22" s="17"/>
    </row>
    <row r="23">
      <c r="A23" s="17"/>
      <c r="B23" s="20" t="s">
        <v>35</v>
      </c>
      <c r="C23" s="20" t="s">
        <v>101</v>
      </c>
      <c r="D23" s="20" t="s">
        <v>102</v>
      </c>
      <c r="E23" s="20" t="s">
        <v>13</v>
      </c>
      <c r="F23" s="20" t="s">
        <v>103</v>
      </c>
      <c r="G23" s="20"/>
      <c r="H23" s="20"/>
      <c r="I23" s="20" t="s">
        <v>15</v>
      </c>
      <c r="J23" s="20" t="s">
        <v>15</v>
      </c>
      <c r="K23" s="20" t="s">
        <v>15</v>
      </c>
      <c r="L23" s="20" t="s">
        <v>15</v>
      </c>
      <c r="M23" s="17"/>
      <c r="N23" s="17"/>
      <c r="O23" s="17"/>
      <c r="P23" s="17"/>
      <c r="Q23" s="17"/>
      <c r="R23" s="17"/>
      <c r="S23" s="17"/>
      <c r="T23" s="17"/>
      <c r="U23" s="17"/>
      <c r="V23" s="17"/>
      <c r="W23" s="17"/>
      <c r="X23" s="17"/>
      <c r="Y23" s="17"/>
      <c r="Z23" s="17"/>
    </row>
    <row r="24">
      <c r="A24" s="17"/>
      <c r="B24" s="20" t="s">
        <v>35</v>
      </c>
      <c r="C24" s="20" t="s">
        <v>109</v>
      </c>
      <c r="D24" s="20" t="s">
        <v>110</v>
      </c>
      <c r="E24" s="20" t="s">
        <v>20</v>
      </c>
      <c r="F24" s="20" t="s">
        <v>111</v>
      </c>
      <c r="G24" s="20"/>
      <c r="H24" s="20"/>
      <c r="I24" s="20" t="s">
        <v>15</v>
      </c>
      <c r="J24" s="20" t="s">
        <v>15</v>
      </c>
      <c r="K24" s="20" t="s">
        <v>15</v>
      </c>
      <c r="L24" s="20" t="s">
        <v>15</v>
      </c>
      <c r="M24" s="17"/>
      <c r="N24" s="17"/>
      <c r="O24" s="17"/>
      <c r="P24" s="17"/>
      <c r="Q24" s="17"/>
      <c r="R24" s="17"/>
      <c r="S24" s="17"/>
      <c r="T24" s="17"/>
      <c r="U24" s="17"/>
      <c r="V24" s="17"/>
      <c r="W24" s="17"/>
      <c r="X24" s="17"/>
      <c r="Y24" s="17"/>
      <c r="Z24" s="17"/>
    </row>
    <row r="25">
      <c r="A25" s="17"/>
      <c r="B25" s="20" t="s">
        <v>35</v>
      </c>
      <c r="C25" s="20" t="s">
        <v>112</v>
      </c>
      <c r="D25" s="20" t="s">
        <v>113</v>
      </c>
      <c r="E25" s="20" t="s">
        <v>20</v>
      </c>
      <c r="F25" s="20" t="s">
        <v>114</v>
      </c>
      <c r="G25" s="20"/>
      <c r="H25" s="20"/>
      <c r="I25" s="20" t="s">
        <v>15</v>
      </c>
      <c r="J25" s="20" t="s">
        <v>15</v>
      </c>
      <c r="K25" s="20" t="s">
        <v>15</v>
      </c>
      <c r="L25" s="20" t="s">
        <v>15</v>
      </c>
      <c r="M25" s="17"/>
      <c r="N25" s="17"/>
      <c r="O25" s="17"/>
      <c r="P25" s="17"/>
      <c r="Q25" s="17"/>
      <c r="R25" s="17"/>
      <c r="S25" s="17"/>
      <c r="T25" s="17"/>
      <c r="U25" s="17"/>
      <c r="V25" s="17"/>
      <c r="W25" s="17"/>
      <c r="X25" s="17"/>
      <c r="Y25" s="17"/>
      <c r="Z25" s="17"/>
    </row>
    <row r="26">
      <c r="A26" s="17"/>
      <c r="B26" s="20" t="s">
        <v>116</v>
      </c>
      <c r="C26" s="20" t="s">
        <v>117</v>
      </c>
      <c r="D26" s="20" t="s">
        <v>118</v>
      </c>
      <c r="E26" s="20" t="s">
        <v>20</v>
      </c>
      <c r="F26" s="20" t="s">
        <v>119</v>
      </c>
      <c r="G26" s="20"/>
      <c r="H26" s="20"/>
      <c r="I26" s="20" t="s">
        <v>15</v>
      </c>
      <c r="J26" s="20" t="s">
        <v>15</v>
      </c>
      <c r="K26" s="20" t="s">
        <v>15</v>
      </c>
      <c r="L26" s="20" t="s">
        <v>15</v>
      </c>
      <c r="M26" s="17"/>
      <c r="N26" s="17"/>
      <c r="O26" s="17"/>
      <c r="P26" s="17"/>
      <c r="Q26" s="17"/>
      <c r="R26" s="17"/>
      <c r="S26" s="17"/>
      <c r="T26" s="17"/>
      <c r="U26" s="17"/>
      <c r="V26" s="17"/>
      <c r="W26" s="17"/>
      <c r="X26" s="17"/>
      <c r="Y26" s="17"/>
      <c r="Z26" s="17"/>
    </row>
    <row r="27">
      <c r="A27" s="17"/>
      <c r="B27" s="20" t="s">
        <v>116</v>
      </c>
      <c r="C27" s="20" t="s">
        <v>120</v>
      </c>
      <c r="D27" s="20" t="s">
        <v>121</v>
      </c>
      <c r="E27" s="20" t="s">
        <v>20</v>
      </c>
      <c r="F27" s="20" t="s">
        <v>122</v>
      </c>
      <c r="G27" s="20"/>
      <c r="H27" s="20"/>
      <c r="I27" s="20" t="s">
        <v>15</v>
      </c>
      <c r="J27" s="20" t="s">
        <v>15</v>
      </c>
      <c r="K27" s="20" t="s">
        <v>15</v>
      </c>
      <c r="L27" s="20" t="s">
        <v>15</v>
      </c>
      <c r="M27" s="17"/>
      <c r="N27" s="17"/>
      <c r="O27" s="17"/>
      <c r="P27" s="17"/>
      <c r="Q27" s="17"/>
      <c r="R27" s="17"/>
      <c r="S27" s="17"/>
      <c r="T27" s="17"/>
      <c r="U27" s="17"/>
      <c r="V27" s="17"/>
      <c r="W27" s="17"/>
      <c r="X27" s="17"/>
      <c r="Y27" s="17"/>
      <c r="Z27" s="17"/>
    </row>
    <row r="28">
      <c r="A28" s="17"/>
      <c r="B28" s="20" t="s">
        <v>116</v>
      </c>
      <c r="C28" s="20" t="s">
        <v>124</v>
      </c>
      <c r="D28" s="20" t="s">
        <v>125</v>
      </c>
      <c r="E28" s="20" t="s">
        <v>20</v>
      </c>
      <c r="F28" s="20" t="s">
        <v>127</v>
      </c>
      <c r="G28" s="20"/>
      <c r="H28" s="20"/>
      <c r="I28" s="20" t="s">
        <v>15</v>
      </c>
      <c r="J28" s="20" t="s">
        <v>15</v>
      </c>
      <c r="K28" s="20" t="s">
        <v>15</v>
      </c>
      <c r="L28" s="20" t="s">
        <v>15</v>
      </c>
      <c r="M28" s="17"/>
      <c r="N28" s="17"/>
      <c r="O28" s="17"/>
      <c r="P28" s="17"/>
      <c r="Q28" s="17"/>
      <c r="R28" s="17"/>
      <c r="S28" s="17"/>
      <c r="T28" s="17"/>
      <c r="U28" s="17"/>
      <c r="V28" s="17"/>
      <c r="W28" s="17"/>
      <c r="X28" s="17"/>
      <c r="Y28" s="17"/>
      <c r="Z28" s="17"/>
    </row>
    <row r="29">
      <c r="A29" s="17"/>
      <c r="B29" s="20" t="s">
        <v>116</v>
      </c>
      <c r="C29" s="20" t="s">
        <v>130</v>
      </c>
      <c r="D29" s="20" t="s">
        <v>131</v>
      </c>
      <c r="E29" s="20" t="s">
        <v>20</v>
      </c>
      <c r="F29" s="20" t="s">
        <v>132</v>
      </c>
      <c r="G29" s="20"/>
      <c r="H29" s="20"/>
      <c r="I29" s="20" t="s">
        <v>15</v>
      </c>
      <c r="J29" s="20" t="s">
        <v>15</v>
      </c>
      <c r="K29" s="20" t="s">
        <v>15</v>
      </c>
      <c r="L29" s="20" t="s">
        <v>15</v>
      </c>
      <c r="M29" s="17"/>
      <c r="N29" s="17"/>
      <c r="O29" s="17"/>
      <c r="P29" s="17"/>
      <c r="Q29" s="17"/>
      <c r="R29" s="17"/>
      <c r="S29" s="17"/>
      <c r="T29" s="17"/>
      <c r="U29" s="17"/>
      <c r="V29" s="17"/>
      <c r="W29" s="17"/>
      <c r="X29" s="17"/>
      <c r="Y29" s="17"/>
      <c r="Z29" s="17"/>
    </row>
    <row r="30">
      <c r="A30" s="17"/>
      <c r="B30" s="20" t="s">
        <v>116</v>
      </c>
      <c r="C30" s="20" t="s">
        <v>134</v>
      </c>
      <c r="D30" s="20" t="s">
        <v>135</v>
      </c>
      <c r="E30" s="20" t="s">
        <v>20</v>
      </c>
      <c r="F30" s="20" t="s">
        <v>137</v>
      </c>
      <c r="G30" s="20"/>
      <c r="H30" s="20"/>
      <c r="I30" s="20" t="s">
        <v>15</v>
      </c>
      <c r="J30" s="20" t="s">
        <v>15</v>
      </c>
      <c r="K30" s="20" t="s">
        <v>15</v>
      </c>
      <c r="L30" s="20" t="s">
        <v>15</v>
      </c>
      <c r="M30" s="17"/>
      <c r="N30" s="17"/>
      <c r="O30" s="17"/>
      <c r="P30" s="17"/>
      <c r="Q30" s="17"/>
      <c r="R30" s="17"/>
      <c r="S30" s="17"/>
      <c r="T30" s="17"/>
      <c r="U30" s="17"/>
      <c r="V30" s="17"/>
      <c r="W30" s="17"/>
      <c r="X30" s="17"/>
      <c r="Y30" s="17"/>
      <c r="Z30" s="17"/>
    </row>
    <row r="31">
      <c r="A31" s="17"/>
      <c r="B31" s="20" t="s">
        <v>116</v>
      </c>
      <c r="C31" s="20" t="s">
        <v>139</v>
      </c>
      <c r="D31" s="20" t="s">
        <v>140</v>
      </c>
      <c r="E31" s="20" t="s">
        <v>13</v>
      </c>
      <c r="F31" s="20" t="s">
        <v>141</v>
      </c>
      <c r="G31" s="20"/>
      <c r="H31" s="20"/>
      <c r="I31" s="20" t="s">
        <v>15</v>
      </c>
      <c r="J31" s="20" t="s">
        <v>15</v>
      </c>
      <c r="K31" s="20" t="s">
        <v>15</v>
      </c>
      <c r="L31" s="20" t="s">
        <v>15</v>
      </c>
      <c r="M31" s="17"/>
      <c r="N31" s="17"/>
      <c r="O31" s="17"/>
      <c r="P31" s="17"/>
      <c r="Q31" s="17"/>
      <c r="R31" s="17"/>
      <c r="S31" s="17"/>
      <c r="T31" s="17"/>
      <c r="U31" s="17"/>
      <c r="V31" s="17"/>
      <c r="W31" s="17"/>
      <c r="X31" s="17"/>
      <c r="Y31" s="17"/>
      <c r="Z31" s="17"/>
    </row>
    <row r="32">
      <c r="A32" s="17"/>
      <c r="B32" s="20" t="s">
        <v>116</v>
      </c>
      <c r="C32" s="20" t="s">
        <v>144</v>
      </c>
      <c r="D32" s="20" t="s">
        <v>146</v>
      </c>
      <c r="E32" s="20" t="s">
        <v>20</v>
      </c>
      <c r="F32" s="20" t="s">
        <v>147</v>
      </c>
      <c r="G32" s="20"/>
      <c r="H32" s="20"/>
      <c r="I32" s="20" t="s">
        <v>15</v>
      </c>
      <c r="J32" s="20" t="s">
        <v>15</v>
      </c>
      <c r="K32" s="20" t="s">
        <v>15</v>
      </c>
      <c r="L32" s="20" t="s">
        <v>15</v>
      </c>
      <c r="M32" s="17"/>
      <c r="N32" s="17"/>
      <c r="O32" s="17"/>
      <c r="P32" s="17"/>
      <c r="Q32" s="17"/>
      <c r="R32" s="17"/>
      <c r="S32" s="17"/>
      <c r="T32" s="17"/>
      <c r="U32" s="17"/>
      <c r="V32" s="17"/>
      <c r="W32" s="17"/>
      <c r="X32" s="17"/>
      <c r="Y32" s="17"/>
      <c r="Z32" s="17"/>
    </row>
    <row r="33">
      <c r="A33" s="17"/>
      <c r="B33" s="20" t="s">
        <v>150</v>
      </c>
      <c r="C33" s="20" t="s">
        <v>151</v>
      </c>
      <c r="D33" s="20" t="s">
        <v>152</v>
      </c>
      <c r="E33" s="20" t="s">
        <v>13</v>
      </c>
      <c r="F33" s="20" t="s">
        <v>153</v>
      </c>
      <c r="G33" s="20"/>
      <c r="H33" s="20"/>
      <c r="I33" s="20" t="s">
        <v>15</v>
      </c>
      <c r="J33" s="20" t="s">
        <v>15</v>
      </c>
      <c r="K33" s="20" t="s">
        <v>15</v>
      </c>
      <c r="L33" s="20" t="s">
        <v>15</v>
      </c>
      <c r="M33" s="17"/>
      <c r="N33" s="17"/>
      <c r="O33" s="17"/>
      <c r="P33" s="17"/>
      <c r="Q33" s="17"/>
      <c r="R33" s="17"/>
      <c r="S33" s="17"/>
      <c r="T33" s="17"/>
      <c r="U33" s="17"/>
      <c r="V33" s="17"/>
      <c r="W33" s="17"/>
      <c r="X33" s="17"/>
      <c r="Y33" s="17"/>
      <c r="Z33" s="17"/>
    </row>
    <row r="34">
      <c r="A34" s="17"/>
      <c r="B34" s="20" t="s">
        <v>150</v>
      </c>
      <c r="C34" s="20" t="s">
        <v>157</v>
      </c>
      <c r="D34" s="20" t="s">
        <v>158</v>
      </c>
      <c r="E34" s="20" t="s">
        <v>20</v>
      </c>
      <c r="F34" s="20" t="s">
        <v>159</v>
      </c>
      <c r="G34" s="20"/>
      <c r="H34" s="20"/>
      <c r="I34" s="20" t="s">
        <v>15</v>
      </c>
      <c r="J34" s="20" t="s">
        <v>15</v>
      </c>
      <c r="K34" s="20" t="s">
        <v>15</v>
      </c>
      <c r="L34" s="20" t="s">
        <v>15</v>
      </c>
      <c r="M34" s="17"/>
      <c r="N34" s="17"/>
      <c r="O34" s="17"/>
      <c r="P34" s="17"/>
      <c r="Q34" s="17"/>
      <c r="R34" s="17"/>
      <c r="S34" s="17"/>
      <c r="T34" s="17"/>
      <c r="U34" s="17"/>
      <c r="V34" s="17"/>
      <c r="W34" s="17"/>
      <c r="X34" s="17"/>
      <c r="Y34" s="17"/>
      <c r="Z34" s="17"/>
    </row>
    <row r="35">
      <c r="A35" s="17"/>
      <c r="B35" s="20" t="s">
        <v>150</v>
      </c>
      <c r="C35" s="20" t="s">
        <v>162</v>
      </c>
      <c r="D35" s="20" t="s">
        <v>163</v>
      </c>
      <c r="E35" s="20" t="s">
        <v>20</v>
      </c>
      <c r="F35" s="20" t="s">
        <v>165</v>
      </c>
      <c r="G35" s="20"/>
      <c r="H35" s="20"/>
      <c r="I35" s="20" t="s">
        <v>15</v>
      </c>
      <c r="J35" s="20" t="s">
        <v>15</v>
      </c>
      <c r="K35" s="20" t="s">
        <v>15</v>
      </c>
      <c r="L35" s="20" t="s">
        <v>15</v>
      </c>
      <c r="M35" s="17"/>
      <c r="N35" s="17"/>
      <c r="O35" s="17"/>
      <c r="P35" s="17"/>
      <c r="Q35" s="17"/>
      <c r="R35" s="17"/>
      <c r="S35" s="17"/>
      <c r="T35" s="17"/>
      <c r="U35" s="17"/>
      <c r="V35" s="17"/>
      <c r="W35" s="17"/>
      <c r="X35" s="17"/>
      <c r="Y35" s="17"/>
      <c r="Z35" s="17"/>
    </row>
    <row r="36">
      <c r="A36" s="17"/>
      <c r="B36" s="20" t="s">
        <v>169</v>
      </c>
      <c r="C36" s="20" t="s">
        <v>170</v>
      </c>
      <c r="D36" s="20" t="s">
        <v>171</v>
      </c>
      <c r="E36" s="20" t="s">
        <v>20</v>
      </c>
      <c r="F36" s="20" t="s">
        <v>172</v>
      </c>
      <c r="G36" s="20"/>
      <c r="H36" s="20"/>
      <c r="I36" s="20" t="s">
        <v>15</v>
      </c>
      <c r="J36" s="20" t="s">
        <v>15</v>
      </c>
      <c r="K36" s="20" t="s">
        <v>15</v>
      </c>
      <c r="L36" s="20" t="s">
        <v>15</v>
      </c>
      <c r="M36" s="17"/>
      <c r="N36" s="17"/>
      <c r="O36" s="17"/>
      <c r="P36" s="17"/>
      <c r="Q36" s="17"/>
      <c r="R36" s="17"/>
      <c r="S36" s="17"/>
      <c r="T36" s="17"/>
      <c r="U36" s="17"/>
      <c r="V36" s="17"/>
      <c r="W36" s="17"/>
      <c r="X36" s="17"/>
      <c r="Y36" s="17"/>
      <c r="Z36" s="17"/>
    </row>
    <row r="37">
      <c r="A37" s="109"/>
      <c r="B37" s="112" t="s">
        <v>169</v>
      </c>
      <c r="C37" s="112" t="s">
        <v>178</v>
      </c>
      <c r="D37" s="112" t="s">
        <v>179</v>
      </c>
      <c r="E37" s="112" t="s">
        <v>20</v>
      </c>
      <c r="F37" s="112" t="s">
        <v>180</v>
      </c>
      <c r="G37" s="112"/>
      <c r="H37" s="112"/>
      <c r="I37" s="112" t="s">
        <v>15</v>
      </c>
      <c r="J37" s="112" t="s">
        <v>15</v>
      </c>
      <c r="K37" s="112" t="s">
        <v>15</v>
      </c>
      <c r="L37" s="112" t="s">
        <v>15</v>
      </c>
      <c r="M37" s="109"/>
      <c r="N37" s="109"/>
      <c r="O37" s="109"/>
      <c r="P37" s="109"/>
      <c r="Q37" s="109"/>
      <c r="R37" s="109"/>
      <c r="S37" s="109"/>
      <c r="T37" s="109"/>
      <c r="U37" s="109"/>
      <c r="V37" s="109"/>
      <c r="W37" s="109"/>
      <c r="X37" s="109"/>
      <c r="Y37" s="109"/>
      <c r="Z37" s="109"/>
    </row>
    <row r="38">
      <c r="A38" s="109"/>
      <c r="B38" s="112" t="s">
        <v>169</v>
      </c>
      <c r="C38" s="112" t="s">
        <v>183</v>
      </c>
      <c r="D38" s="112" t="s">
        <v>184</v>
      </c>
      <c r="E38" s="112" t="s">
        <v>13</v>
      </c>
      <c r="F38" s="112" t="s">
        <v>185</v>
      </c>
      <c r="G38" s="112"/>
      <c r="H38" s="112"/>
      <c r="I38" s="112" t="s">
        <v>15</v>
      </c>
      <c r="J38" s="112" t="s">
        <v>15</v>
      </c>
      <c r="K38" s="112" t="s">
        <v>15</v>
      </c>
      <c r="L38" s="112" t="s">
        <v>15</v>
      </c>
      <c r="M38" s="109"/>
      <c r="N38" s="109"/>
      <c r="O38" s="109"/>
      <c r="P38" s="109"/>
      <c r="Q38" s="109"/>
      <c r="R38" s="109"/>
      <c r="S38" s="109"/>
      <c r="T38" s="109"/>
      <c r="U38" s="109"/>
      <c r="V38" s="109"/>
      <c r="W38" s="109"/>
      <c r="X38" s="109"/>
      <c r="Y38" s="109"/>
      <c r="Z38" s="109"/>
    </row>
    <row r="39">
      <c r="A39" s="109"/>
      <c r="B39" s="112" t="s">
        <v>186</v>
      </c>
      <c r="C39" s="112" t="s">
        <v>187</v>
      </c>
      <c r="D39" s="112" t="s">
        <v>188</v>
      </c>
      <c r="E39" s="112" t="s">
        <v>20</v>
      </c>
      <c r="F39" s="112" t="s">
        <v>189</v>
      </c>
      <c r="G39" s="112"/>
      <c r="H39" s="112"/>
      <c r="I39" s="112" t="s">
        <v>15</v>
      </c>
      <c r="J39" s="112" t="s">
        <v>15</v>
      </c>
      <c r="K39" s="112" t="s">
        <v>15</v>
      </c>
      <c r="L39" s="112" t="s">
        <v>15</v>
      </c>
      <c r="M39" s="109"/>
      <c r="N39" s="109"/>
      <c r="O39" s="109"/>
      <c r="P39" s="109"/>
      <c r="Q39" s="109"/>
      <c r="R39" s="109"/>
      <c r="S39" s="109"/>
      <c r="T39" s="109"/>
      <c r="U39" s="109"/>
      <c r="V39" s="109"/>
      <c r="W39" s="109"/>
      <c r="X39" s="109"/>
      <c r="Y39" s="109"/>
      <c r="Z39" s="109"/>
    </row>
    <row r="40">
      <c r="A40" s="109"/>
      <c r="B40" s="112" t="s">
        <v>186</v>
      </c>
      <c r="C40" s="112" t="s">
        <v>192</v>
      </c>
      <c r="D40" s="112" t="s">
        <v>195</v>
      </c>
      <c r="E40" s="112" t="s">
        <v>20</v>
      </c>
      <c r="F40" s="112" t="s">
        <v>196</v>
      </c>
      <c r="G40" s="112"/>
      <c r="H40" s="112"/>
      <c r="I40" s="112" t="s">
        <v>15</v>
      </c>
      <c r="J40" s="112" t="s">
        <v>15</v>
      </c>
      <c r="K40" s="112" t="s">
        <v>15</v>
      </c>
      <c r="L40" s="112" t="s">
        <v>15</v>
      </c>
      <c r="M40" s="109"/>
      <c r="N40" s="109"/>
      <c r="O40" s="109"/>
      <c r="P40" s="109"/>
      <c r="Q40" s="109"/>
      <c r="R40" s="109"/>
      <c r="S40" s="109"/>
      <c r="T40" s="109"/>
      <c r="U40" s="109"/>
      <c r="V40" s="109"/>
      <c r="W40" s="109"/>
      <c r="X40" s="109"/>
      <c r="Y40" s="109"/>
      <c r="Z40" s="109"/>
    </row>
    <row r="42">
      <c r="B42" s="1" t="s">
        <v>0</v>
      </c>
      <c r="C42" s="1" t="s">
        <v>1</v>
      </c>
      <c r="D42" s="1" t="s">
        <v>2</v>
      </c>
      <c r="E42" s="1" t="s">
        <v>3</v>
      </c>
      <c r="F42" s="1" t="s">
        <v>4</v>
      </c>
      <c r="G42" s="1" t="s">
        <v>5</v>
      </c>
      <c r="H42" s="1" t="s">
        <v>6</v>
      </c>
      <c r="I42" s="1" t="s">
        <v>7</v>
      </c>
      <c r="J42" s="1" t="s">
        <v>8</v>
      </c>
      <c r="K42" s="1" t="s">
        <v>9</v>
      </c>
    </row>
    <row r="43">
      <c r="A43" s="17"/>
      <c r="B43" s="20" t="s">
        <v>115</v>
      </c>
      <c r="C43" s="20" t="s">
        <v>123</v>
      </c>
      <c r="D43" s="20" t="s">
        <v>199</v>
      </c>
      <c r="E43" s="20" t="s">
        <v>20</v>
      </c>
      <c r="F43" s="20" t="s">
        <v>200</v>
      </c>
      <c r="G43" s="17"/>
      <c r="H43" s="20"/>
      <c r="I43" s="20" t="s">
        <v>15</v>
      </c>
      <c r="J43" s="20" t="s">
        <v>15</v>
      </c>
      <c r="K43" s="20" t="s">
        <v>15</v>
      </c>
      <c r="L43" s="20" t="s">
        <v>15</v>
      </c>
      <c r="M43" s="17"/>
      <c r="N43" s="17"/>
      <c r="O43" s="17"/>
      <c r="P43" s="17"/>
      <c r="Q43" s="17"/>
      <c r="R43" s="17"/>
      <c r="S43" s="17"/>
      <c r="T43" s="17"/>
      <c r="U43" s="17"/>
      <c r="V43" s="17"/>
      <c r="W43" s="17"/>
      <c r="X43" s="17"/>
      <c r="Y43" s="17"/>
      <c r="Z43" s="17"/>
    </row>
    <row r="44">
      <c r="A44" s="17"/>
      <c r="B44" s="20" t="s">
        <v>115</v>
      </c>
      <c r="C44" s="20" t="s">
        <v>138</v>
      </c>
      <c r="D44" s="20" t="s">
        <v>201</v>
      </c>
      <c r="E44" s="20" t="s">
        <v>13</v>
      </c>
      <c r="F44" s="20" t="s">
        <v>202</v>
      </c>
      <c r="G44" s="17"/>
      <c r="H44" s="20"/>
      <c r="I44" s="20" t="s">
        <v>15</v>
      </c>
      <c r="J44" s="20" t="s">
        <v>15</v>
      </c>
      <c r="K44" s="20" t="s">
        <v>15</v>
      </c>
      <c r="L44" s="20" t="s">
        <v>15</v>
      </c>
      <c r="M44" s="17"/>
      <c r="N44" s="17"/>
      <c r="O44" s="17"/>
      <c r="P44" s="17"/>
      <c r="Q44" s="17"/>
      <c r="R44" s="17"/>
      <c r="S44" s="17"/>
      <c r="T44" s="17"/>
      <c r="U44" s="17"/>
      <c r="V44" s="17"/>
      <c r="W44" s="17"/>
      <c r="X44" s="17"/>
      <c r="Y44" s="17"/>
      <c r="Z44" s="17"/>
    </row>
    <row r="45">
      <c r="A45" s="17"/>
      <c r="B45" s="20" t="s">
        <v>203</v>
      </c>
      <c r="C45" s="20" t="s">
        <v>145</v>
      </c>
      <c r="D45" s="20" t="s">
        <v>149</v>
      </c>
      <c r="E45" s="20" t="s">
        <v>20</v>
      </c>
      <c r="F45" s="20" t="s">
        <v>204</v>
      </c>
      <c r="G45" s="17"/>
      <c r="H45" s="20"/>
      <c r="I45" s="20" t="s">
        <v>15</v>
      </c>
      <c r="J45" s="20" t="s">
        <v>15</v>
      </c>
      <c r="K45" s="20" t="s">
        <v>15</v>
      </c>
      <c r="L45" s="20" t="s">
        <v>15</v>
      </c>
      <c r="M45" s="17"/>
      <c r="N45" s="17"/>
      <c r="O45" s="17"/>
      <c r="P45" s="17"/>
      <c r="Q45" s="17"/>
      <c r="R45" s="17"/>
      <c r="S45" s="17"/>
      <c r="T45" s="17"/>
      <c r="U45" s="17"/>
      <c r="V45" s="17"/>
      <c r="W45" s="17"/>
      <c r="X45" s="17"/>
      <c r="Y45" s="17"/>
      <c r="Z45" s="17"/>
    </row>
    <row r="46">
      <c r="A46" s="17"/>
      <c r="B46" s="20" t="s">
        <v>154</v>
      </c>
      <c r="C46" s="20" t="s">
        <v>156</v>
      </c>
      <c r="D46" s="20" t="s">
        <v>160</v>
      </c>
      <c r="E46" s="20" t="s">
        <v>20</v>
      </c>
      <c r="F46" s="20" t="s">
        <v>206</v>
      </c>
      <c r="G46" s="17"/>
      <c r="H46" s="20"/>
      <c r="I46" s="20" t="s">
        <v>15</v>
      </c>
      <c r="J46" s="20" t="s">
        <v>15</v>
      </c>
      <c r="K46" s="20" t="s">
        <v>15</v>
      </c>
      <c r="L46" s="20" t="s">
        <v>15</v>
      </c>
      <c r="M46" s="17"/>
      <c r="N46" s="17"/>
      <c r="O46" s="17"/>
      <c r="P46" s="17"/>
      <c r="Q46" s="17"/>
      <c r="R46" s="17"/>
      <c r="S46" s="17"/>
      <c r="T46" s="17"/>
      <c r="U46" s="17"/>
      <c r="V46" s="17"/>
      <c r="W46" s="17"/>
      <c r="X46" s="17"/>
      <c r="Y46" s="17"/>
      <c r="Z46" s="17"/>
    </row>
    <row r="47">
      <c r="A47" s="17"/>
      <c r="B47" s="20" t="s">
        <v>154</v>
      </c>
      <c r="C47" s="20" t="s">
        <v>164</v>
      </c>
      <c r="D47" s="20" t="s">
        <v>167</v>
      </c>
      <c r="E47" s="20" t="s">
        <v>20</v>
      </c>
      <c r="F47" s="20" t="s">
        <v>208</v>
      </c>
      <c r="G47" s="17"/>
      <c r="H47" s="20"/>
      <c r="I47" s="20" t="s">
        <v>15</v>
      </c>
      <c r="J47" s="20" t="s">
        <v>15</v>
      </c>
      <c r="K47" s="20" t="s">
        <v>15</v>
      </c>
      <c r="L47" s="20" t="s">
        <v>15</v>
      </c>
      <c r="M47" s="17"/>
      <c r="N47" s="17"/>
      <c r="O47" s="17"/>
      <c r="P47" s="17"/>
      <c r="Q47" s="17"/>
      <c r="R47" s="17"/>
      <c r="S47" s="17"/>
      <c r="T47" s="17"/>
      <c r="U47" s="17"/>
      <c r="V47" s="17"/>
      <c r="W47" s="17"/>
      <c r="X47" s="17"/>
      <c r="Y47" s="17"/>
      <c r="Z47" s="17"/>
    </row>
    <row r="48">
      <c r="A48" s="17"/>
      <c r="B48" s="20" t="s">
        <v>154</v>
      </c>
      <c r="C48" s="20" t="s">
        <v>173</v>
      </c>
      <c r="D48" s="20" t="s">
        <v>175</v>
      </c>
      <c r="E48" s="20" t="s">
        <v>20</v>
      </c>
      <c r="F48" s="20" t="s">
        <v>210</v>
      </c>
      <c r="G48" s="17"/>
      <c r="H48" s="20"/>
      <c r="I48" s="20" t="s">
        <v>15</v>
      </c>
      <c r="J48" s="20" t="s">
        <v>15</v>
      </c>
      <c r="K48" s="20" t="s">
        <v>15</v>
      </c>
      <c r="L48" s="20" t="s">
        <v>15</v>
      </c>
      <c r="M48" s="17"/>
      <c r="N48" s="17"/>
      <c r="O48" s="17"/>
      <c r="P48" s="17"/>
      <c r="Q48" s="17"/>
      <c r="R48" s="17"/>
      <c r="S48" s="17"/>
      <c r="T48" s="17"/>
      <c r="U48" s="17"/>
      <c r="V48" s="17"/>
      <c r="W48" s="17"/>
      <c r="X48" s="17"/>
      <c r="Y48" s="17"/>
      <c r="Z48" s="17"/>
    </row>
    <row r="49">
      <c r="A49" s="17"/>
      <c r="B49" s="20" t="s">
        <v>211</v>
      </c>
      <c r="C49" s="20" t="s">
        <v>177</v>
      </c>
      <c r="D49" s="20" t="s">
        <v>212</v>
      </c>
      <c r="E49" s="20" t="s">
        <v>13</v>
      </c>
      <c r="F49" s="20" t="s">
        <v>213</v>
      </c>
      <c r="G49" s="17"/>
      <c r="H49" s="20"/>
      <c r="I49" s="20" t="s">
        <v>15</v>
      </c>
      <c r="J49" s="20" t="s">
        <v>15</v>
      </c>
      <c r="K49" s="20" t="s">
        <v>15</v>
      </c>
      <c r="L49" s="20" t="s">
        <v>15</v>
      </c>
      <c r="M49" s="17"/>
      <c r="N49" s="17"/>
      <c r="O49" s="17"/>
      <c r="P49" s="17"/>
      <c r="Q49" s="17"/>
      <c r="R49" s="17"/>
      <c r="S49" s="17"/>
      <c r="T49" s="17"/>
      <c r="U49" s="17"/>
      <c r="V49" s="17"/>
      <c r="W49" s="17"/>
      <c r="X49" s="17"/>
      <c r="Y49" s="17"/>
      <c r="Z49" s="17"/>
    </row>
    <row r="50">
      <c r="B50" s="140" t="s">
        <v>211</v>
      </c>
      <c r="C50" s="140" t="s">
        <v>215</v>
      </c>
      <c r="D50" s="140" t="s">
        <v>212</v>
      </c>
      <c r="E50" s="140" t="s">
        <v>13</v>
      </c>
      <c r="F50" s="140" t="s">
        <v>213</v>
      </c>
      <c r="H50" s="1"/>
      <c r="I50" s="1" t="s">
        <v>15</v>
      </c>
      <c r="J50" s="1" t="s">
        <v>15</v>
      </c>
      <c r="K50" s="1" t="s">
        <v>15</v>
      </c>
      <c r="L50" s="1" t="s">
        <v>15</v>
      </c>
    </row>
    <row r="51">
      <c r="A51" s="109"/>
      <c r="B51" s="112" t="s">
        <v>216</v>
      </c>
      <c r="C51" s="112" t="s">
        <v>217</v>
      </c>
      <c r="D51" s="112" t="s">
        <v>218</v>
      </c>
      <c r="E51" s="112" t="s">
        <v>20</v>
      </c>
      <c r="F51" s="112" t="s">
        <v>219</v>
      </c>
      <c r="G51" s="109"/>
      <c r="H51" s="112"/>
      <c r="I51" s="112" t="s">
        <v>15</v>
      </c>
      <c r="J51" s="112" t="s">
        <v>15</v>
      </c>
      <c r="K51" s="112" t="s">
        <v>15</v>
      </c>
      <c r="L51" s="112" t="s">
        <v>15</v>
      </c>
      <c r="M51" s="109"/>
      <c r="N51" s="109"/>
      <c r="O51" s="109"/>
      <c r="P51" s="109"/>
      <c r="Q51" s="109"/>
      <c r="R51" s="109"/>
      <c r="S51" s="109"/>
      <c r="T51" s="109"/>
      <c r="U51" s="109"/>
      <c r="V51" s="109"/>
      <c r="W51" s="109"/>
      <c r="X51" s="109"/>
      <c r="Y51" s="109"/>
      <c r="Z51" s="109"/>
    </row>
    <row r="52">
      <c r="A52" s="109"/>
      <c r="B52" s="112" t="s">
        <v>216</v>
      </c>
      <c r="C52" s="112" t="s">
        <v>220</v>
      </c>
      <c r="D52" s="112" t="s">
        <v>218</v>
      </c>
      <c r="E52" s="112" t="s">
        <v>13</v>
      </c>
      <c r="F52" s="112" t="s">
        <v>222</v>
      </c>
      <c r="G52" s="109"/>
      <c r="H52" s="112"/>
      <c r="I52" s="112" t="s">
        <v>15</v>
      </c>
      <c r="J52" s="112" t="s">
        <v>15</v>
      </c>
      <c r="K52" s="112" t="s">
        <v>15</v>
      </c>
      <c r="L52" s="112" t="s">
        <v>15</v>
      </c>
      <c r="M52" s="109"/>
      <c r="N52" s="109"/>
      <c r="O52" s="109"/>
      <c r="P52" s="109"/>
      <c r="Q52" s="109"/>
      <c r="R52" s="109"/>
      <c r="S52" s="109"/>
      <c r="T52" s="109"/>
      <c r="U52" s="109"/>
      <c r="V52" s="109"/>
      <c r="W52" s="109"/>
      <c r="X52" s="109"/>
      <c r="Y52" s="109"/>
      <c r="Z52" s="109"/>
    </row>
    <row r="53">
      <c r="A53" s="109"/>
      <c r="B53" s="112" t="s">
        <v>216</v>
      </c>
      <c r="C53" s="112" t="s">
        <v>224</v>
      </c>
      <c r="D53" s="112" t="s">
        <v>225</v>
      </c>
      <c r="E53" s="112" t="s">
        <v>20</v>
      </c>
      <c r="F53" s="112" t="s">
        <v>219</v>
      </c>
      <c r="G53" s="109"/>
      <c r="H53" s="112"/>
      <c r="I53" s="112" t="s">
        <v>15</v>
      </c>
      <c r="J53" s="112" t="s">
        <v>15</v>
      </c>
      <c r="K53" s="112" t="s">
        <v>15</v>
      </c>
      <c r="L53" s="112" t="s">
        <v>15</v>
      </c>
      <c r="M53" s="109"/>
      <c r="N53" s="109"/>
      <c r="O53" s="109"/>
      <c r="P53" s="109"/>
      <c r="Q53" s="109"/>
      <c r="R53" s="109"/>
      <c r="S53" s="109"/>
      <c r="T53" s="109"/>
      <c r="U53" s="109"/>
      <c r="V53" s="109"/>
      <c r="W53" s="109"/>
      <c r="X53" s="109"/>
      <c r="Y53" s="109"/>
      <c r="Z53" s="109"/>
    </row>
    <row r="54">
      <c r="A54" s="109"/>
      <c r="B54" s="112" t="s">
        <v>226</v>
      </c>
      <c r="C54" s="112" t="s">
        <v>227</v>
      </c>
      <c r="D54" s="112" t="s">
        <v>228</v>
      </c>
      <c r="E54" s="112" t="s">
        <v>20</v>
      </c>
      <c r="F54" s="112" t="s">
        <v>229</v>
      </c>
      <c r="G54" s="109"/>
      <c r="H54" s="112"/>
      <c r="I54" s="112" t="s">
        <v>15</v>
      </c>
      <c r="J54" s="112" t="s">
        <v>15</v>
      </c>
      <c r="K54" s="112" t="s">
        <v>15</v>
      </c>
      <c r="L54" s="112" t="s">
        <v>15</v>
      </c>
      <c r="M54" s="109"/>
      <c r="N54" s="109"/>
      <c r="O54" s="109"/>
      <c r="P54" s="109"/>
      <c r="Q54" s="109"/>
      <c r="R54" s="109"/>
      <c r="S54" s="109"/>
      <c r="T54" s="109"/>
      <c r="U54" s="109"/>
      <c r="V54" s="109"/>
      <c r="W54" s="109"/>
      <c r="X54" s="109"/>
      <c r="Y54" s="109"/>
      <c r="Z54" s="109"/>
    </row>
    <row r="55">
      <c r="A55" s="109"/>
      <c r="B55" s="112" t="s">
        <v>230</v>
      </c>
      <c r="C55" s="112" t="s">
        <v>231</v>
      </c>
      <c r="D55" s="112" t="s">
        <v>232</v>
      </c>
      <c r="E55" s="112" t="s">
        <v>13</v>
      </c>
      <c r="F55" s="112" t="s">
        <v>233</v>
      </c>
      <c r="G55" s="109"/>
      <c r="H55" s="112"/>
      <c r="I55" s="112" t="s">
        <v>15</v>
      </c>
      <c r="J55" s="112" t="s">
        <v>15</v>
      </c>
      <c r="K55" s="112" t="s">
        <v>15</v>
      </c>
      <c r="L55" s="112" t="s">
        <v>15</v>
      </c>
      <c r="M55" s="109"/>
      <c r="N55" s="109"/>
      <c r="O55" s="109"/>
      <c r="P55" s="109"/>
      <c r="Q55" s="109"/>
      <c r="R55" s="109"/>
      <c r="S55" s="109"/>
      <c r="T55" s="109"/>
      <c r="U55" s="109"/>
      <c r="V55" s="109"/>
      <c r="W55" s="109"/>
      <c r="X55" s="109"/>
      <c r="Y55" s="109"/>
      <c r="Z55" s="109"/>
    </row>
    <row r="56">
      <c r="A56" s="109"/>
      <c r="B56" s="112" t="s">
        <v>230</v>
      </c>
      <c r="C56" s="112" t="s">
        <v>235</v>
      </c>
      <c r="D56" s="112" t="s">
        <v>236</v>
      </c>
      <c r="E56" s="112" t="s">
        <v>20</v>
      </c>
      <c r="F56" s="112" t="s">
        <v>237</v>
      </c>
      <c r="G56" s="109"/>
      <c r="H56" s="112"/>
      <c r="I56" s="112" t="s">
        <v>15</v>
      </c>
      <c r="J56" s="112" t="s">
        <v>15</v>
      </c>
      <c r="K56" s="112" t="s">
        <v>15</v>
      </c>
      <c r="L56" s="112" t="s">
        <v>15</v>
      </c>
      <c r="M56" s="109"/>
      <c r="N56" s="109"/>
      <c r="O56" s="109"/>
      <c r="P56" s="109"/>
      <c r="Q56" s="109"/>
      <c r="R56" s="109"/>
      <c r="S56" s="109"/>
      <c r="T56" s="109"/>
      <c r="U56" s="109"/>
      <c r="V56" s="109"/>
      <c r="W56" s="109"/>
      <c r="X56" s="109"/>
      <c r="Y56" s="109"/>
      <c r="Z56" s="109"/>
    </row>
    <row r="57">
      <c r="A57" s="109"/>
      <c r="B57" s="112" t="s">
        <v>230</v>
      </c>
      <c r="C57" s="112" t="s">
        <v>238</v>
      </c>
      <c r="D57" s="112" t="s">
        <v>239</v>
      </c>
      <c r="E57" s="112" t="s">
        <v>20</v>
      </c>
      <c r="F57" s="112" t="s">
        <v>240</v>
      </c>
      <c r="G57" s="109"/>
      <c r="H57" s="112"/>
      <c r="I57" s="112" t="s">
        <v>15</v>
      </c>
      <c r="J57" s="112" t="s">
        <v>15</v>
      </c>
      <c r="K57" s="112" t="s">
        <v>15</v>
      </c>
      <c r="L57" s="112" t="s">
        <v>15</v>
      </c>
      <c r="M57" s="109"/>
      <c r="N57" s="109"/>
      <c r="O57" s="109"/>
      <c r="P57" s="109"/>
      <c r="Q57" s="109"/>
      <c r="R57" s="109"/>
      <c r="S57" s="109"/>
      <c r="T57" s="109"/>
      <c r="U57" s="109"/>
      <c r="V57" s="109"/>
      <c r="W57" s="109"/>
      <c r="X57" s="109"/>
      <c r="Y57" s="109"/>
      <c r="Z57" s="109"/>
    </row>
    <row r="58">
      <c r="A58" s="109"/>
      <c r="B58" s="112" t="s">
        <v>230</v>
      </c>
      <c r="C58" s="112" t="s">
        <v>245</v>
      </c>
      <c r="D58" s="112" t="s">
        <v>246</v>
      </c>
      <c r="E58" s="112" t="s">
        <v>20</v>
      </c>
      <c r="F58" s="112" t="s">
        <v>247</v>
      </c>
      <c r="G58" s="109"/>
      <c r="H58" s="112"/>
      <c r="I58" s="112" t="s">
        <v>15</v>
      </c>
      <c r="J58" s="112" t="s">
        <v>15</v>
      </c>
      <c r="K58" s="112" t="s">
        <v>15</v>
      </c>
      <c r="L58" s="112" t="s">
        <v>15</v>
      </c>
      <c r="M58" s="109"/>
      <c r="N58" s="109"/>
      <c r="O58" s="109"/>
      <c r="P58" s="109"/>
      <c r="Q58" s="109"/>
      <c r="R58" s="109"/>
      <c r="S58" s="109"/>
      <c r="T58" s="109"/>
      <c r="U58" s="109"/>
      <c r="V58" s="109"/>
      <c r="W58" s="109"/>
      <c r="X58" s="109"/>
      <c r="Y58" s="109"/>
      <c r="Z58" s="10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workbookViewId="0"/>
  </sheetViews>
  <sheetFormatPr customHeight="1" defaultColWidth="12.63" defaultRowHeight="15.75"/>
  <cols>
    <col customWidth="1" min="1" max="1" width="2.88"/>
    <col customWidth="1" min="2" max="2" width="6.88"/>
    <col customWidth="1" min="3" max="3" width="18.13"/>
    <col customWidth="1" min="4" max="4" width="17.25"/>
    <col customWidth="1" min="5" max="5" width="19.63"/>
    <col customWidth="1" min="6" max="6" width="8.38"/>
    <col customWidth="1" min="7" max="7" width="7.75"/>
    <col customWidth="1" min="8" max="8" width="17.38"/>
    <col customWidth="1" min="9" max="9" width="19.75"/>
    <col customWidth="1" min="10" max="10" width="14.25"/>
    <col customWidth="1" min="11" max="13" width="4.25"/>
  </cols>
  <sheetData>
    <row r="1">
      <c r="A1" s="4"/>
      <c r="B1" s="5"/>
      <c r="C1" s="5"/>
      <c r="D1" s="5"/>
      <c r="E1" s="5"/>
      <c r="F1" s="5"/>
      <c r="G1" s="5"/>
      <c r="H1" s="5"/>
      <c r="I1" s="8"/>
      <c r="J1" s="11"/>
      <c r="K1" s="11"/>
      <c r="L1" s="11"/>
      <c r="M1" s="11"/>
    </row>
    <row r="2" ht="28.5" customHeight="1">
      <c r="A2" s="13"/>
      <c r="B2" s="16"/>
      <c r="C2" s="12"/>
      <c r="D2" s="25" t="s">
        <v>34</v>
      </c>
      <c r="E2" s="9"/>
      <c r="F2" s="9"/>
      <c r="G2" s="9"/>
      <c r="H2" s="9"/>
      <c r="I2" s="28" t="s">
        <v>43</v>
      </c>
      <c r="J2" s="30"/>
      <c r="K2" s="31"/>
      <c r="L2" s="31"/>
      <c r="M2" s="31"/>
    </row>
    <row r="3" ht="28.5" customHeight="1">
      <c r="A3" s="33"/>
      <c r="B3" s="27"/>
      <c r="C3" s="29"/>
      <c r="I3" s="34" t="s">
        <v>50</v>
      </c>
      <c r="J3" s="35"/>
      <c r="K3" s="31"/>
      <c r="L3" s="31"/>
      <c r="M3" s="31"/>
    </row>
    <row r="4" ht="28.5" customHeight="1">
      <c r="A4" s="33"/>
      <c r="B4" s="36"/>
      <c r="C4" s="21"/>
      <c r="D4" s="18"/>
      <c r="E4" s="18"/>
      <c r="F4" s="18"/>
      <c r="G4" s="18"/>
      <c r="H4" s="18"/>
      <c r="I4" s="38" t="s">
        <v>55</v>
      </c>
      <c r="J4" s="40"/>
      <c r="K4" s="31"/>
      <c r="L4" s="31"/>
      <c r="M4" s="31"/>
    </row>
    <row r="5" ht="18.75" customHeight="1">
      <c r="A5" s="41"/>
      <c r="B5" s="41"/>
      <c r="C5" s="42"/>
      <c r="D5" s="41"/>
      <c r="E5" s="41"/>
      <c r="F5" s="41"/>
      <c r="G5" s="41"/>
      <c r="H5" s="41"/>
      <c r="I5" s="41"/>
      <c r="J5" s="41"/>
      <c r="K5" s="41"/>
      <c r="L5" s="41"/>
      <c r="M5" s="41"/>
    </row>
    <row r="6" ht="18.75" customHeight="1">
      <c r="A6" s="44"/>
      <c r="B6" s="46" t="s">
        <v>62</v>
      </c>
      <c r="C6" s="48"/>
      <c r="D6" s="48"/>
      <c r="E6" s="48"/>
      <c r="F6" s="48"/>
      <c r="G6" s="48"/>
      <c r="H6" s="48"/>
      <c r="I6" s="48"/>
      <c r="J6" s="50"/>
      <c r="K6" s="52"/>
      <c r="L6" s="52"/>
      <c r="M6" s="52"/>
    </row>
    <row r="7" ht="18.75" customHeight="1">
      <c r="A7" s="53"/>
      <c r="B7" s="55" t="s">
        <v>76</v>
      </c>
      <c r="C7" s="57"/>
      <c r="D7" s="58" t="s">
        <v>83</v>
      </c>
      <c r="E7" s="60"/>
      <c r="F7" s="62"/>
      <c r="G7" s="64"/>
      <c r="H7" s="64"/>
      <c r="I7" s="65"/>
      <c r="J7" s="68"/>
      <c r="K7" s="69"/>
      <c r="L7" s="69"/>
      <c r="M7" s="69"/>
    </row>
    <row r="8" ht="18.75" customHeight="1">
      <c r="A8" s="53"/>
      <c r="B8" s="72" t="s">
        <v>100</v>
      </c>
      <c r="C8" s="57"/>
      <c r="D8" s="74" t="s">
        <v>105</v>
      </c>
      <c r="E8" s="76"/>
      <c r="F8" s="79"/>
      <c r="G8" s="82"/>
      <c r="H8" s="82"/>
      <c r="I8" s="84"/>
      <c r="J8" s="86"/>
      <c r="K8" s="88"/>
      <c r="L8" s="88"/>
      <c r="M8" s="88"/>
    </row>
    <row r="9" ht="18.75" customHeight="1">
      <c r="A9" s="53"/>
      <c r="B9" s="90" t="s">
        <v>129</v>
      </c>
      <c r="C9" s="92"/>
      <c r="D9" s="94" t="s">
        <v>136</v>
      </c>
      <c r="E9" s="76"/>
      <c r="F9" s="79"/>
      <c r="G9" s="82"/>
      <c r="H9" s="82"/>
      <c r="I9" s="84"/>
      <c r="J9" s="86"/>
      <c r="K9" s="88"/>
      <c r="L9" s="88"/>
      <c r="M9" s="88"/>
    </row>
    <row r="10" ht="18.75" customHeight="1">
      <c r="A10" s="53"/>
      <c r="B10" s="96" t="s">
        <v>143</v>
      </c>
      <c r="C10" s="98"/>
      <c r="D10" s="99" t="s">
        <v>155</v>
      </c>
      <c r="E10" s="101"/>
      <c r="F10" s="103"/>
      <c r="G10" s="18"/>
      <c r="H10" s="18"/>
      <c r="I10" s="104"/>
      <c r="J10" s="106"/>
      <c r="K10" s="88"/>
      <c r="L10" s="88"/>
      <c r="M10" s="88"/>
    </row>
    <row r="11" ht="9.0" customHeight="1">
      <c r="A11" s="108"/>
      <c r="B11" s="111"/>
      <c r="C11" s="111"/>
      <c r="D11" s="111"/>
      <c r="E11" s="111"/>
      <c r="F11" s="111"/>
      <c r="G11" s="111"/>
      <c r="H11" s="111"/>
      <c r="I11" s="111"/>
      <c r="J11" s="111"/>
      <c r="K11" s="113"/>
      <c r="L11" s="113"/>
      <c r="M11" s="113"/>
    </row>
    <row r="12" ht="18.75" customHeight="1">
      <c r="A12" s="44"/>
      <c r="B12" s="115" t="s">
        <v>181</v>
      </c>
      <c r="C12" s="48"/>
      <c r="D12" s="48"/>
      <c r="E12" s="48"/>
      <c r="F12" s="48"/>
      <c r="G12" s="48"/>
      <c r="H12" s="48"/>
      <c r="I12" s="48"/>
      <c r="J12" s="50"/>
      <c r="K12" s="52"/>
      <c r="L12" s="52"/>
      <c r="M12" s="52"/>
    </row>
    <row r="13" ht="20.25" customHeight="1">
      <c r="A13" s="44"/>
      <c r="B13" s="55" t="s">
        <v>190</v>
      </c>
      <c r="C13" s="118"/>
      <c r="D13" s="120" t="s">
        <v>193</v>
      </c>
      <c r="E13" s="122"/>
      <c r="F13" s="122"/>
      <c r="G13" s="122"/>
      <c r="H13" s="122"/>
      <c r="I13" s="122"/>
      <c r="J13" s="124"/>
      <c r="K13" s="52"/>
      <c r="L13" s="52"/>
      <c r="M13" s="52"/>
    </row>
    <row r="14" ht="18.75" customHeight="1">
      <c r="A14" s="53"/>
      <c r="B14" s="126" t="s">
        <v>198</v>
      </c>
      <c r="C14" s="127"/>
      <c r="D14" s="129"/>
      <c r="E14" s="129"/>
      <c r="F14" s="129"/>
      <c r="G14" s="130"/>
      <c r="H14" s="129"/>
      <c r="I14" s="129"/>
      <c r="J14" s="131"/>
      <c r="K14" s="44"/>
      <c r="L14" s="44"/>
      <c r="M14" s="44"/>
    </row>
    <row r="15" ht="9.0" customHeight="1">
      <c r="A15" s="53"/>
      <c r="B15" s="132"/>
      <c r="C15" s="133"/>
      <c r="D15" s="133"/>
      <c r="E15" s="108"/>
      <c r="F15" s="132"/>
      <c r="G15" s="108"/>
      <c r="H15" s="108"/>
      <c r="I15" s="133"/>
      <c r="J15" s="108"/>
      <c r="K15" s="44"/>
      <c r="L15" s="44"/>
      <c r="M15" s="44"/>
    </row>
    <row r="16" ht="18.75" customHeight="1">
      <c r="A16" s="44"/>
      <c r="B16" s="115" t="s">
        <v>205</v>
      </c>
      <c r="C16" s="48"/>
      <c r="D16" s="48"/>
      <c r="E16" s="48"/>
      <c r="F16" s="48"/>
      <c r="G16" s="48"/>
      <c r="H16" s="48"/>
      <c r="I16" s="48"/>
      <c r="J16" s="50"/>
      <c r="K16" s="52"/>
      <c r="L16" s="52"/>
      <c r="M16" s="52"/>
    </row>
    <row r="17" ht="18.75" customHeight="1">
      <c r="A17" s="44"/>
      <c r="B17" s="134" t="s">
        <v>209</v>
      </c>
      <c r="C17" s="135"/>
      <c r="D17" s="136">
        <v>46258.0</v>
      </c>
      <c r="E17" s="137"/>
      <c r="F17" s="135"/>
      <c r="G17" s="135"/>
      <c r="H17" s="135"/>
      <c r="I17" s="135"/>
      <c r="J17" s="139"/>
      <c r="K17" s="52"/>
      <c r="L17" s="52"/>
      <c r="M17" s="52"/>
    </row>
    <row r="18">
      <c r="A18" s="44"/>
      <c r="B18" s="141" t="s">
        <v>214</v>
      </c>
      <c r="C18" s="143"/>
      <c r="D18" s="143"/>
      <c r="E18" s="143"/>
      <c r="F18" s="143"/>
      <c r="G18" s="143"/>
      <c r="H18" s="143"/>
      <c r="I18" s="143"/>
      <c r="J18" s="145"/>
      <c r="K18" s="52"/>
      <c r="L18" s="52"/>
      <c r="M18" s="52"/>
    </row>
    <row r="19" ht="18.75" customHeight="1">
      <c r="A19" s="44"/>
      <c r="B19" s="146" t="s">
        <v>223</v>
      </c>
      <c r="C19" s="147"/>
      <c r="D19" s="147"/>
      <c r="E19" s="148"/>
      <c r="F19" s="148"/>
      <c r="G19" s="148"/>
      <c r="H19" s="148"/>
      <c r="I19" s="148"/>
      <c r="J19" s="149"/>
      <c r="K19" s="52"/>
      <c r="L19" s="52"/>
      <c r="M19" s="52"/>
    </row>
    <row r="20" ht="18.75" customHeight="1">
      <c r="A20" s="44"/>
      <c r="B20" s="150" t="b">
        <v>0</v>
      </c>
      <c r="C20" s="151" t="s">
        <v>234</v>
      </c>
      <c r="D20" s="152"/>
      <c r="E20" s="153"/>
      <c r="F20" s="153"/>
      <c r="G20" s="153"/>
      <c r="H20" s="153"/>
      <c r="I20" s="153"/>
      <c r="J20" s="154"/>
      <c r="K20" s="52"/>
      <c r="L20" s="52"/>
      <c r="M20" s="52"/>
    </row>
    <row r="21" ht="18.75" customHeight="1">
      <c r="A21" s="53"/>
      <c r="B21" s="155" t="s">
        <v>242</v>
      </c>
      <c r="C21" s="156"/>
      <c r="D21" s="156"/>
      <c r="E21" s="157"/>
      <c r="F21" s="156"/>
      <c r="G21" s="156"/>
      <c r="H21" s="156"/>
      <c r="I21" s="156"/>
      <c r="J21" s="158"/>
      <c r="K21" s="44"/>
      <c r="L21" s="44"/>
      <c r="M21" s="44"/>
    </row>
    <row r="22" ht="8.25" customHeight="1">
      <c r="A22" s="44"/>
      <c r="B22" s="52"/>
      <c r="C22" s="52"/>
      <c r="D22" s="52"/>
      <c r="E22" s="52"/>
      <c r="F22" s="52"/>
      <c r="G22" s="52"/>
      <c r="H22" s="52"/>
      <c r="I22" s="52"/>
      <c r="J22" s="52"/>
      <c r="K22" s="52"/>
      <c r="L22" s="52"/>
      <c r="M22" s="52"/>
    </row>
    <row r="23" ht="18.75" customHeight="1">
      <c r="A23" s="44"/>
      <c r="B23" s="115" t="s">
        <v>248</v>
      </c>
      <c r="C23" s="48"/>
      <c r="D23" s="48"/>
      <c r="E23" s="48"/>
      <c r="F23" s="48"/>
      <c r="G23" s="48"/>
      <c r="H23" s="48"/>
      <c r="I23" s="48"/>
      <c r="J23" s="50"/>
      <c r="K23" s="52"/>
      <c r="L23" s="52"/>
      <c r="M23" s="52"/>
    </row>
    <row r="24" ht="18.75" customHeight="1">
      <c r="A24" s="44"/>
      <c r="B24" s="159" t="s">
        <v>249</v>
      </c>
      <c r="C24" s="160" t="s">
        <v>250</v>
      </c>
      <c r="D24" s="161"/>
      <c r="E24" s="162" t="s">
        <v>251</v>
      </c>
      <c r="F24" s="164"/>
      <c r="G24" s="164"/>
      <c r="H24" s="160" t="s">
        <v>253</v>
      </c>
      <c r="I24" s="162" t="s">
        <v>254</v>
      </c>
      <c r="J24" s="165"/>
      <c r="K24" s="52"/>
      <c r="L24" s="52"/>
      <c r="M24" s="52"/>
    </row>
    <row r="25" ht="18.0" hidden="1" customHeight="1">
      <c r="A25" s="44"/>
      <c r="B25" s="168" t="s">
        <v>256</v>
      </c>
      <c r="C25" s="170" t="s">
        <v>259</v>
      </c>
      <c r="D25" s="171"/>
      <c r="E25" s="173"/>
      <c r="F25" s="171"/>
      <c r="G25" s="175"/>
      <c r="H25" s="153"/>
      <c r="I25" s="153"/>
      <c r="J25" s="154"/>
      <c r="K25" s="52"/>
      <c r="L25" s="52"/>
      <c r="M25" s="52"/>
    </row>
    <row r="26" ht="18.75" hidden="1" customHeight="1">
      <c r="A26" s="44"/>
      <c r="B26" s="176" t="s">
        <v>262</v>
      </c>
      <c r="C26" s="177" t="s">
        <v>263</v>
      </c>
      <c r="D26" s="178"/>
      <c r="E26" s="179"/>
      <c r="F26" s="178"/>
      <c r="G26" s="178"/>
      <c r="H26" s="180"/>
      <c r="I26" s="181"/>
      <c r="J26" s="183"/>
      <c r="K26" s="52"/>
      <c r="L26" s="52"/>
      <c r="M26" s="52"/>
    </row>
    <row r="27" ht="18.75" hidden="1" customHeight="1">
      <c r="A27" s="44"/>
      <c r="B27" s="185" t="s">
        <v>266</v>
      </c>
      <c r="C27" s="192" t="str">
        <f>D7</f>
        <v>Bùi Nguyễn Khánh Linh</v>
      </c>
      <c r="D27" s="194"/>
      <c r="E27" s="196" t="s">
        <v>273</v>
      </c>
      <c r="F27" s="192"/>
      <c r="G27" s="200"/>
      <c r="H27" s="200"/>
      <c r="I27" s="200"/>
      <c r="J27" s="201"/>
      <c r="K27" s="52"/>
      <c r="L27" s="52"/>
      <c r="M27" s="52"/>
    </row>
    <row r="28" ht="4.5" customHeight="1">
      <c r="A28" s="53"/>
      <c r="B28" s="202"/>
      <c r="C28" s="203"/>
      <c r="D28" s="203"/>
      <c r="E28" s="204"/>
      <c r="F28" s="203"/>
      <c r="G28" s="203"/>
      <c r="H28" s="203"/>
      <c r="I28" s="203"/>
      <c r="J28" s="205"/>
      <c r="K28" s="44"/>
      <c r="L28" s="44"/>
      <c r="M28" s="44"/>
    </row>
    <row r="29" ht="15.0" customHeight="1">
      <c r="A29" s="44"/>
      <c r="B29" s="206"/>
      <c r="C29" s="206"/>
      <c r="D29" s="206"/>
      <c r="E29" s="207"/>
      <c r="F29" s="206"/>
      <c r="G29" s="206"/>
      <c r="H29" s="206"/>
      <c r="I29" s="206"/>
      <c r="J29" s="206"/>
      <c r="K29" s="52"/>
      <c r="L29" s="52"/>
      <c r="M29" s="52"/>
    </row>
    <row r="30">
      <c r="A30" s="44"/>
      <c r="B30" s="207" t="s">
        <v>276</v>
      </c>
      <c r="K30" s="52"/>
      <c r="L30" s="52"/>
      <c r="M30" s="52"/>
    </row>
    <row r="31" ht="15.75" customHeight="1">
      <c r="A31" s="208"/>
      <c r="B31" s="209" t="s">
        <v>277</v>
      </c>
      <c r="K31" s="52"/>
      <c r="L31" s="52"/>
      <c r="M31" s="52"/>
    </row>
    <row r="32" ht="15.75" customHeight="1">
      <c r="A32" s="132"/>
      <c r="B32" s="210"/>
      <c r="C32" s="211"/>
      <c r="D32" s="210"/>
      <c r="E32" s="210"/>
      <c r="F32" s="210"/>
      <c r="G32" s="210"/>
      <c r="H32" s="210"/>
      <c r="I32" s="210"/>
      <c r="J32" s="113"/>
      <c r="K32" s="113"/>
      <c r="L32" s="113"/>
      <c r="M32" s="113"/>
    </row>
    <row r="33" ht="28.5" customHeight="1">
      <c r="A33" s="212"/>
      <c r="B33" s="213" t="s">
        <v>89</v>
      </c>
      <c r="C33" s="214" t="s">
        <v>278</v>
      </c>
      <c r="D33" s="217" t="s">
        <v>279</v>
      </c>
      <c r="E33" s="73"/>
      <c r="F33" s="219" t="s">
        <v>281</v>
      </c>
      <c r="G33" s="219" t="s">
        <v>282</v>
      </c>
      <c r="H33" s="219" t="s">
        <v>283</v>
      </c>
      <c r="I33" s="219" t="s">
        <v>284</v>
      </c>
      <c r="J33" s="213" t="s">
        <v>6</v>
      </c>
      <c r="K33" s="223"/>
      <c r="L33" s="223"/>
      <c r="M33" s="223"/>
    </row>
    <row r="34" ht="63.75" customHeight="1">
      <c r="A34" s="212"/>
      <c r="B34" s="225">
        <v>1.0</v>
      </c>
      <c r="C34" s="227" t="s">
        <v>286</v>
      </c>
      <c r="D34" s="228" t="s">
        <v>287</v>
      </c>
      <c r="E34" s="73"/>
      <c r="F34" s="230" t="s">
        <v>289</v>
      </c>
      <c r="G34" s="230">
        <v>1.0</v>
      </c>
      <c r="H34" s="232">
        <v>5580700.0</v>
      </c>
      <c r="I34" s="232">
        <f t="shared" ref="I34:I36" si="1">H34*G34</f>
        <v>5580700</v>
      </c>
      <c r="J34" s="125"/>
      <c r="K34" s="113"/>
      <c r="L34" s="113"/>
      <c r="M34" s="113"/>
    </row>
    <row r="35" ht="63.75" hidden="1" customHeight="1">
      <c r="A35" s="212"/>
      <c r="B35" s="225">
        <v>1.0</v>
      </c>
      <c r="C35" s="227" t="s">
        <v>286</v>
      </c>
      <c r="D35" s="228" t="s">
        <v>292</v>
      </c>
      <c r="E35" s="73"/>
      <c r="F35" s="230" t="s">
        <v>289</v>
      </c>
      <c r="G35" s="230">
        <v>1.0</v>
      </c>
      <c r="H35" s="232"/>
      <c r="I35" s="232">
        <f t="shared" si="1"/>
        <v>0</v>
      </c>
      <c r="J35" s="125"/>
      <c r="K35" s="113"/>
      <c r="L35" s="113"/>
      <c r="M35" s="113"/>
    </row>
    <row r="36" ht="63.75" hidden="1" customHeight="1">
      <c r="A36" s="212"/>
      <c r="B36" s="225">
        <v>1.0</v>
      </c>
      <c r="C36" s="227" t="s">
        <v>286</v>
      </c>
      <c r="D36" s="228" t="s">
        <v>298</v>
      </c>
      <c r="E36" s="73"/>
      <c r="F36" s="230" t="s">
        <v>289</v>
      </c>
      <c r="G36" s="230">
        <v>1.0</v>
      </c>
      <c r="H36" s="232"/>
      <c r="I36" s="232">
        <f t="shared" si="1"/>
        <v>0</v>
      </c>
      <c r="J36" s="125"/>
      <c r="K36" s="113"/>
      <c r="L36" s="113"/>
      <c r="M36" s="113"/>
    </row>
    <row r="37" ht="22.5" customHeight="1">
      <c r="A37" s="212"/>
      <c r="B37" s="243"/>
      <c r="C37" s="244" t="s">
        <v>301</v>
      </c>
      <c r="D37" s="97"/>
      <c r="E37" s="97"/>
      <c r="F37" s="97"/>
      <c r="G37" s="97"/>
      <c r="H37" s="73"/>
      <c r="I37" s="247">
        <f>sum(I34:I36)</f>
        <v>5580700</v>
      </c>
      <c r="J37" s="248"/>
      <c r="K37" s="113"/>
      <c r="L37" s="113"/>
      <c r="M37" s="113"/>
    </row>
    <row r="38">
      <c r="A38" s="108"/>
      <c r="B38" s="250" t="s">
        <v>305</v>
      </c>
      <c r="C38" s="250"/>
      <c r="D38" s="250"/>
      <c r="E38" s="250"/>
      <c r="F38" s="250"/>
      <c r="G38" s="250"/>
      <c r="H38" s="250"/>
      <c r="I38" s="250"/>
      <c r="J38" s="250"/>
      <c r="K38" s="113"/>
      <c r="L38" s="113"/>
      <c r="M38" s="113"/>
    </row>
    <row r="39">
      <c r="A39" s="108"/>
      <c r="C39" s="251" t="s">
        <v>308</v>
      </c>
      <c r="D39" s="252"/>
      <c r="E39" s="252"/>
      <c r="F39" s="250"/>
      <c r="G39" s="250"/>
      <c r="H39" s="250"/>
      <c r="I39" s="250"/>
      <c r="J39" s="250"/>
      <c r="K39" s="113"/>
      <c r="L39" s="113"/>
      <c r="M39" s="113"/>
    </row>
    <row r="40" ht="15.75" customHeight="1">
      <c r="A40" s="212"/>
      <c r="B40" s="253"/>
      <c r="C40" s="255"/>
      <c r="E40" s="256"/>
      <c r="F40" s="257"/>
      <c r="G40" s="256"/>
      <c r="H40" s="256"/>
      <c r="I40" s="258"/>
      <c r="J40" s="108"/>
      <c r="K40" s="113"/>
      <c r="L40" s="113"/>
      <c r="M40" s="113"/>
    </row>
    <row r="41" ht="15.75" customHeight="1">
      <c r="A41" s="259"/>
      <c r="B41" s="260" t="s">
        <v>311</v>
      </c>
      <c r="F41" s="41"/>
      <c r="G41" s="41"/>
      <c r="H41" s="41"/>
      <c r="I41" s="41"/>
      <c r="J41" s="41"/>
      <c r="K41" s="259"/>
      <c r="L41" s="41"/>
      <c r="M41" s="41"/>
    </row>
    <row r="42" hidden="1">
      <c r="A42" s="262"/>
      <c r="B42" s="262"/>
      <c r="C42" s="262"/>
      <c r="D42" s="262"/>
      <c r="E42" s="262"/>
      <c r="F42" s="262"/>
      <c r="G42" s="262"/>
      <c r="H42" s="262"/>
      <c r="I42" s="262"/>
      <c r="J42" s="262"/>
      <c r="K42" s="262"/>
      <c r="L42" s="262"/>
      <c r="M42" s="262"/>
    </row>
    <row r="43" hidden="1">
      <c r="A43" s="262"/>
      <c r="B43" s="263" t="s">
        <v>314</v>
      </c>
      <c r="C43" s="9"/>
      <c r="D43" s="264" t="s">
        <v>315</v>
      </c>
      <c r="E43" s="9"/>
      <c r="F43" s="265" t="s">
        <v>316</v>
      </c>
      <c r="G43" s="9"/>
      <c r="H43" s="9"/>
      <c r="I43" s="265" t="s">
        <v>317</v>
      </c>
      <c r="J43" s="12"/>
      <c r="K43" s="266"/>
      <c r="L43" s="266"/>
      <c r="M43" s="266"/>
    </row>
    <row r="44" ht="15.0" hidden="1" customHeight="1">
      <c r="A44" s="262"/>
      <c r="B44" s="267"/>
      <c r="D44" s="268"/>
      <c r="E44" s="268"/>
      <c r="F44" s="268"/>
      <c r="G44" s="41"/>
      <c r="H44" s="41"/>
      <c r="I44" s="262"/>
      <c r="J44" s="269"/>
      <c r="K44" s="262"/>
      <c r="L44" s="262"/>
      <c r="M44" s="262"/>
    </row>
    <row r="45" ht="15.0" hidden="1" customHeight="1">
      <c r="A45" s="262"/>
      <c r="B45" s="270"/>
      <c r="C45" s="268"/>
      <c r="D45" s="268"/>
      <c r="E45" s="268"/>
      <c r="F45" s="268"/>
      <c r="G45" s="41"/>
      <c r="H45" s="41"/>
      <c r="I45" s="41"/>
      <c r="J45" s="271"/>
      <c r="K45" s="262"/>
      <c r="L45" s="262"/>
      <c r="M45" s="262"/>
    </row>
    <row r="46" ht="15.0" hidden="1" customHeight="1">
      <c r="A46" s="262"/>
      <c r="B46" s="270"/>
      <c r="C46" s="268"/>
      <c r="D46" s="268"/>
      <c r="E46" s="268"/>
      <c r="F46" s="268"/>
      <c r="G46" s="41"/>
      <c r="H46" s="41"/>
      <c r="I46" s="41"/>
      <c r="J46" s="271"/>
      <c r="K46" s="262"/>
      <c r="L46" s="262"/>
      <c r="M46" s="272"/>
    </row>
    <row r="47" ht="15.0" hidden="1" customHeight="1">
      <c r="A47" s="262"/>
      <c r="B47" s="270"/>
      <c r="C47" s="268"/>
      <c r="D47" s="268"/>
      <c r="E47" s="268"/>
      <c r="F47" s="268"/>
      <c r="G47" s="41"/>
      <c r="H47" s="41"/>
      <c r="I47" s="41"/>
      <c r="J47" s="271"/>
      <c r="K47" s="262"/>
      <c r="L47" s="262"/>
      <c r="M47" s="262"/>
    </row>
    <row r="48" ht="15.0" hidden="1" customHeight="1">
      <c r="A48" s="262"/>
      <c r="B48" s="270"/>
      <c r="C48" s="268"/>
      <c r="D48" s="262"/>
      <c r="E48" s="268"/>
      <c r="F48" s="268"/>
      <c r="G48" s="41"/>
      <c r="H48" s="41"/>
      <c r="I48" s="266"/>
      <c r="J48" s="271"/>
      <c r="K48" s="262"/>
      <c r="L48" s="262"/>
      <c r="M48" s="262"/>
    </row>
    <row r="49" ht="25.5" hidden="1" customHeight="1">
      <c r="A49" s="262"/>
      <c r="B49" s="273" t="s">
        <v>321</v>
      </c>
      <c r="D49" s="169" t="s">
        <v>322</v>
      </c>
      <c r="F49" s="169" t="s">
        <v>323</v>
      </c>
      <c r="I49" s="169" t="str">
        <f>D7</f>
        <v>Bùi Nguyễn Khánh Linh</v>
      </c>
      <c r="J49" s="29"/>
      <c r="K49" s="262"/>
      <c r="L49" s="262"/>
      <c r="M49" s="262"/>
    </row>
    <row r="50" hidden="1">
      <c r="A50" s="262"/>
      <c r="B50" s="274"/>
      <c r="C50" s="266"/>
      <c r="D50" s="268"/>
      <c r="E50" s="268"/>
      <c r="F50" s="268"/>
      <c r="G50" s="41"/>
      <c r="H50" s="41"/>
      <c r="I50" s="41"/>
      <c r="J50" s="271"/>
      <c r="K50" s="262"/>
      <c r="L50" s="262"/>
      <c r="M50" s="262"/>
    </row>
    <row r="51" hidden="1">
      <c r="A51" s="262"/>
      <c r="B51" s="270"/>
      <c r="C51" s="275"/>
      <c r="E51" s="277"/>
      <c r="H51" s="268"/>
      <c r="I51" s="277"/>
      <c r="J51" s="29"/>
      <c r="K51" s="262"/>
      <c r="L51" s="262"/>
      <c r="M51" s="262"/>
    </row>
    <row r="52" hidden="1">
      <c r="A52" s="262"/>
      <c r="B52" s="270"/>
      <c r="C52" s="279"/>
      <c r="E52" s="262"/>
      <c r="H52" s="41"/>
      <c r="I52" s="268"/>
      <c r="J52" s="29"/>
      <c r="K52" s="262"/>
      <c r="L52" s="262"/>
      <c r="M52" s="262"/>
    </row>
    <row r="53" hidden="1">
      <c r="A53" s="262"/>
      <c r="B53" s="270"/>
      <c r="E53" s="262"/>
      <c r="H53" s="41"/>
      <c r="I53" s="268"/>
      <c r="J53" s="29"/>
      <c r="K53" s="262"/>
      <c r="L53" s="262"/>
      <c r="M53" s="262"/>
    </row>
    <row r="54" hidden="1">
      <c r="A54" s="262"/>
      <c r="B54" s="270"/>
      <c r="E54" s="262"/>
      <c r="H54" s="41"/>
      <c r="I54" s="268"/>
      <c r="J54" s="29"/>
      <c r="K54" s="262"/>
      <c r="L54" s="262"/>
      <c r="M54" s="262"/>
    </row>
    <row r="55" hidden="1">
      <c r="A55" s="262"/>
      <c r="B55" s="270"/>
      <c r="E55" s="262"/>
      <c r="H55" s="41"/>
      <c r="I55" s="41"/>
      <c r="J55" s="29"/>
      <c r="K55" s="262"/>
      <c r="L55" s="262"/>
      <c r="M55" s="262"/>
    </row>
    <row r="56" hidden="1">
      <c r="A56" s="262"/>
      <c r="B56" s="270"/>
      <c r="E56" s="262"/>
      <c r="H56" s="41"/>
      <c r="I56" s="41"/>
      <c r="J56" s="29"/>
      <c r="K56" s="262"/>
      <c r="L56" s="262"/>
      <c r="M56" s="262"/>
    </row>
    <row r="57" ht="10.5" hidden="1" customHeight="1">
      <c r="A57" s="262"/>
      <c r="B57" s="280"/>
      <c r="C57" s="18"/>
      <c r="D57" s="18"/>
      <c r="E57" s="281"/>
      <c r="F57" s="18"/>
      <c r="G57" s="18"/>
      <c r="H57" s="282"/>
      <c r="I57" s="281"/>
      <c r="J57" s="21"/>
      <c r="K57" s="262"/>
      <c r="L57" s="262"/>
      <c r="M57" s="262"/>
    </row>
    <row r="58">
      <c r="A58" s="252"/>
      <c r="B58" s="252"/>
      <c r="C58" s="252"/>
      <c r="D58" s="252"/>
      <c r="E58" s="252"/>
      <c r="F58" s="252"/>
      <c r="G58" s="252"/>
      <c r="H58" s="252"/>
      <c r="I58" s="252"/>
      <c r="J58" s="252"/>
      <c r="K58" s="252"/>
      <c r="L58" s="252"/>
      <c r="M58" s="252"/>
    </row>
    <row r="59">
      <c r="A59" s="262"/>
      <c r="B59" s="283"/>
      <c r="C59" s="9"/>
      <c r="D59" s="264" t="s">
        <v>317</v>
      </c>
      <c r="E59" s="9"/>
      <c r="F59" s="265" t="s">
        <v>315</v>
      </c>
      <c r="G59" s="9"/>
      <c r="H59" s="9"/>
      <c r="I59" s="265" t="s">
        <v>258</v>
      </c>
      <c r="J59" s="12"/>
      <c r="K59" s="266"/>
      <c r="L59" s="266"/>
      <c r="M59" s="266"/>
    </row>
    <row r="60" ht="15.0" customHeight="1">
      <c r="A60" s="262"/>
      <c r="B60" s="267"/>
      <c r="D60" s="268"/>
      <c r="E60" s="268"/>
      <c r="F60" s="268"/>
      <c r="G60" s="41"/>
      <c r="H60" s="41"/>
      <c r="I60" s="262"/>
      <c r="J60" s="269"/>
      <c r="K60" s="262"/>
      <c r="L60" s="262"/>
      <c r="M60" s="262"/>
    </row>
    <row r="61" ht="15.0" customHeight="1">
      <c r="A61" s="262"/>
      <c r="B61" s="270"/>
      <c r="C61" s="268"/>
      <c r="D61" s="268"/>
      <c r="E61" s="268"/>
      <c r="F61" s="268"/>
      <c r="G61" s="41"/>
      <c r="H61" s="41"/>
      <c r="I61" s="41"/>
      <c r="J61" s="271"/>
      <c r="K61" s="262"/>
      <c r="L61" s="262"/>
      <c r="M61" s="262"/>
    </row>
    <row r="62" ht="15.0" customHeight="1">
      <c r="A62" s="262"/>
      <c r="B62" s="270"/>
      <c r="C62" s="268"/>
      <c r="D62" s="268"/>
      <c r="E62" s="268"/>
      <c r="F62" s="268"/>
      <c r="G62" s="41"/>
      <c r="H62" s="41"/>
      <c r="I62" s="41"/>
      <c r="J62" s="271"/>
      <c r="K62" s="262"/>
      <c r="L62" s="262"/>
      <c r="M62" s="272"/>
    </row>
    <row r="63" ht="15.0" customHeight="1">
      <c r="A63" s="262"/>
      <c r="B63" s="270"/>
      <c r="C63" s="268"/>
      <c r="D63" s="268"/>
      <c r="E63" s="268"/>
      <c r="F63" s="268"/>
      <c r="G63" s="41"/>
      <c r="H63" s="41"/>
      <c r="I63" s="41"/>
      <c r="J63" s="271"/>
      <c r="K63" s="262"/>
      <c r="L63" s="262"/>
      <c r="M63" s="262"/>
    </row>
    <row r="64" ht="15.0" customHeight="1">
      <c r="A64" s="262"/>
      <c r="B64" s="270"/>
      <c r="C64" s="268"/>
      <c r="D64" s="262"/>
      <c r="E64" s="268"/>
      <c r="F64" s="268"/>
      <c r="G64" s="41"/>
      <c r="H64" s="41"/>
      <c r="I64" s="266"/>
      <c r="J64" s="271"/>
      <c r="K64" s="262"/>
      <c r="L64" s="262"/>
      <c r="M64" s="262"/>
    </row>
    <row r="65" ht="25.5" customHeight="1">
      <c r="A65" s="262"/>
      <c r="B65" s="270"/>
      <c r="D65" s="169" t="str">
        <f>D7</f>
        <v>Bùi Nguyễn Khánh Linh</v>
      </c>
      <c r="F65" s="169" t="s">
        <v>322</v>
      </c>
      <c r="I65" s="169" t="s">
        <v>268</v>
      </c>
      <c r="J65" s="29"/>
      <c r="K65" s="262"/>
      <c r="L65" s="262"/>
      <c r="M65" s="262"/>
    </row>
    <row r="66" ht="10.5" customHeight="1">
      <c r="A66" s="262"/>
      <c r="B66" s="280"/>
      <c r="C66" s="284"/>
      <c r="D66" s="18"/>
      <c r="E66" s="281"/>
      <c r="F66" s="18"/>
      <c r="G66" s="18"/>
      <c r="H66" s="282"/>
      <c r="I66" s="281"/>
      <c r="J66" s="21"/>
      <c r="K66" s="262"/>
      <c r="L66" s="262"/>
      <c r="M66" s="262"/>
    </row>
    <row r="67">
      <c r="A67" s="41"/>
      <c r="B67" s="285"/>
      <c r="C67" s="285"/>
      <c r="D67" s="285"/>
      <c r="E67" s="285"/>
      <c r="F67" s="41"/>
      <c r="G67" s="41"/>
      <c r="H67" s="41"/>
      <c r="I67" s="41"/>
      <c r="J67" s="41"/>
      <c r="K67" s="41"/>
      <c r="L67" s="41"/>
      <c r="M67" s="41"/>
    </row>
    <row r="68">
      <c r="A68" s="41"/>
      <c r="B68" s="286" t="s">
        <v>325</v>
      </c>
      <c r="C68" s="18"/>
      <c r="D68" s="18"/>
      <c r="E68" s="18"/>
      <c r="F68" s="287"/>
      <c r="G68" s="287"/>
      <c r="H68" s="287"/>
      <c r="I68" s="287"/>
      <c r="J68" s="287"/>
      <c r="K68" s="41"/>
      <c r="L68" s="41"/>
      <c r="M68" s="41"/>
    </row>
    <row r="69">
      <c r="A69" s="41"/>
      <c r="B69" s="288" t="s">
        <v>326</v>
      </c>
      <c r="C69" s="289"/>
      <c r="D69" s="289"/>
      <c r="E69" s="289"/>
      <c r="F69" s="289"/>
      <c r="G69" s="289"/>
      <c r="H69" s="289"/>
      <c r="I69" s="289"/>
      <c r="J69" s="290"/>
      <c r="K69" s="41"/>
      <c r="L69" s="41"/>
      <c r="M69" s="41"/>
    </row>
    <row r="70">
      <c r="A70" s="262"/>
      <c r="B70" s="291" t="s">
        <v>327</v>
      </c>
      <c r="C70" s="292"/>
      <c r="D70" s="292"/>
      <c r="E70" s="292"/>
      <c r="F70" s="292"/>
      <c r="G70" s="292"/>
      <c r="H70" s="292"/>
      <c r="I70" s="292"/>
      <c r="J70" s="293"/>
      <c r="K70" s="262"/>
      <c r="L70" s="262"/>
      <c r="M70" s="262"/>
    </row>
    <row r="71">
      <c r="A71" s="262"/>
      <c r="B71" s="291" t="s">
        <v>328</v>
      </c>
      <c r="C71" s="292"/>
      <c r="D71" s="292"/>
      <c r="E71" s="292"/>
      <c r="F71" s="292"/>
      <c r="G71" s="292"/>
      <c r="H71" s="292"/>
      <c r="I71" s="292"/>
      <c r="J71" s="293"/>
      <c r="K71" s="262"/>
      <c r="L71" s="262"/>
      <c r="M71" s="262"/>
    </row>
    <row r="72">
      <c r="A72" s="262"/>
      <c r="B72" s="267"/>
      <c r="D72" s="262"/>
      <c r="E72" s="262"/>
      <c r="F72" s="262"/>
      <c r="G72" s="262"/>
      <c r="H72" s="262"/>
      <c r="I72" s="262"/>
      <c r="J72" s="269"/>
      <c r="K72" s="262"/>
      <c r="L72" s="262"/>
      <c r="M72" s="262"/>
    </row>
    <row r="73">
      <c r="A73" s="262"/>
      <c r="B73" s="267"/>
      <c r="C73" s="262"/>
      <c r="D73" s="262"/>
      <c r="E73" s="262"/>
      <c r="F73" s="262"/>
      <c r="G73" s="262"/>
      <c r="H73" s="262"/>
      <c r="I73" s="262"/>
      <c r="J73" s="269"/>
      <c r="K73" s="262"/>
      <c r="L73" s="262"/>
      <c r="M73" s="262"/>
    </row>
    <row r="74">
      <c r="A74" s="262"/>
      <c r="B74" s="294" t="s">
        <v>329</v>
      </c>
      <c r="C74" s="18"/>
      <c r="D74" s="295"/>
      <c r="E74" s="295"/>
      <c r="F74" s="295"/>
      <c r="G74" s="295"/>
      <c r="H74" s="295"/>
      <c r="I74" s="295"/>
      <c r="J74" s="296"/>
      <c r="K74" s="262"/>
      <c r="L74" s="262"/>
      <c r="M74" s="262"/>
    </row>
    <row r="75">
      <c r="A75" s="262"/>
      <c r="B75" s="297"/>
      <c r="C75" s="297"/>
      <c r="D75" s="262"/>
      <c r="E75" s="262"/>
      <c r="F75" s="262"/>
      <c r="G75" s="262"/>
      <c r="H75" s="262"/>
      <c r="I75" s="262"/>
      <c r="J75" s="262"/>
      <c r="K75" s="262"/>
      <c r="L75" s="262"/>
      <c r="M75" s="262"/>
    </row>
    <row r="76">
      <c r="A76" s="262"/>
      <c r="B76" s="297"/>
      <c r="C76" s="297"/>
      <c r="D76" s="262"/>
      <c r="E76" s="262"/>
      <c r="F76" s="262"/>
      <c r="G76" s="262"/>
      <c r="H76" s="262"/>
      <c r="I76" s="262"/>
      <c r="J76" s="262"/>
      <c r="K76" s="262"/>
      <c r="L76" s="262"/>
      <c r="M76" s="262"/>
    </row>
  </sheetData>
  <mergeCells count="60">
    <mergeCell ref="E56:G56"/>
    <mergeCell ref="E57:G57"/>
    <mergeCell ref="E53:G53"/>
    <mergeCell ref="I53:J53"/>
    <mergeCell ref="E54:G54"/>
    <mergeCell ref="I54:J54"/>
    <mergeCell ref="E55:G55"/>
    <mergeCell ref="I55:J55"/>
    <mergeCell ref="I56:J56"/>
    <mergeCell ref="I57:J57"/>
    <mergeCell ref="C66:D66"/>
    <mergeCell ref="E66:G66"/>
    <mergeCell ref="B68:E68"/>
    <mergeCell ref="B72:C72"/>
    <mergeCell ref="B74:C74"/>
    <mergeCell ref="C51:D51"/>
    <mergeCell ref="C52:D57"/>
    <mergeCell ref="B59:C59"/>
    <mergeCell ref="D59:E59"/>
    <mergeCell ref="F59:H59"/>
    <mergeCell ref="B60:C60"/>
    <mergeCell ref="B65:C65"/>
    <mergeCell ref="B2:C4"/>
    <mergeCell ref="D2:H4"/>
    <mergeCell ref="B6:J6"/>
    <mergeCell ref="F7:I7"/>
    <mergeCell ref="F8:I8"/>
    <mergeCell ref="F9:I9"/>
    <mergeCell ref="F10:I10"/>
    <mergeCell ref="B12:J12"/>
    <mergeCell ref="B16:J16"/>
    <mergeCell ref="B18:J18"/>
    <mergeCell ref="B23:J23"/>
    <mergeCell ref="B30:J30"/>
    <mergeCell ref="B31:J31"/>
    <mergeCell ref="D33:E33"/>
    <mergeCell ref="D43:E43"/>
    <mergeCell ref="F43:H43"/>
    <mergeCell ref="I43:J43"/>
    <mergeCell ref="D34:E34"/>
    <mergeCell ref="D35:E35"/>
    <mergeCell ref="D36:E36"/>
    <mergeCell ref="C37:H37"/>
    <mergeCell ref="C40:D40"/>
    <mergeCell ref="B41:E41"/>
    <mergeCell ref="B43:C43"/>
    <mergeCell ref="I51:J51"/>
    <mergeCell ref="I52:J52"/>
    <mergeCell ref="I59:J59"/>
    <mergeCell ref="B44:C44"/>
    <mergeCell ref="B49:C49"/>
    <mergeCell ref="D49:E49"/>
    <mergeCell ref="F49:H49"/>
    <mergeCell ref="I49:J49"/>
    <mergeCell ref="E51:G51"/>
    <mergeCell ref="E52:G52"/>
    <mergeCell ref="D65:E65"/>
    <mergeCell ref="F65:H65"/>
    <mergeCell ref="I65:J65"/>
    <mergeCell ref="I66:J66"/>
  </mergeCells>
  <printOptions horizontalCentered="1"/>
  <pageMargins bottom="0.19050038100076203" footer="0.0" header="0.0" left="0.5905511811023623" right="0.11430022860045723" top="0.19685039370078738"/>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63"/>
    <col customWidth="1" min="2" max="2" width="14.0"/>
    <col customWidth="1" min="3" max="3" width="14.88"/>
    <col customWidth="1" min="4" max="4" width="17.0"/>
    <col customWidth="1" min="5" max="5" width="24.5"/>
    <col customWidth="1" min="10" max="10" width="5.88"/>
  </cols>
  <sheetData>
    <row r="1">
      <c r="A1" s="3"/>
      <c r="B1" s="3"/>
      <c r="C1" s="3"/>
      <c r="D1" s="3"/>
      <c r="E1" s="6"/>
      <c r="F1" s="10" t="s">
        <v>22</v>
      </c>
      <c r="G1" s="9"/>
      <c r="H1" s="12"/>
      <c r="I1" s="3"/>
      <c r="J1" s="3"/>
    </row>
    <row r="2">
      <c r="A2" s="3"/>
      <c r="B2" s="3"/>
      <c r="C2" s="3"/>
      <c r="D2" s="3"/>
      <c r="E2" s="6"/>
      <c r="F2" s="15" t="s">
        <v>29</v>
      </c>
      <c r="G2" s="18"/>
      <c r="H2" s="21"/>
      <c r="I2" s="3"/>
      <c r="J2" s="3"/>
    </row>
    <row r="3">
      <c r="A3" s="3"/>
      <c r="B3" s="3"/>
      <c r="C3" s="3"/>
      <c r="D3" s="3"/>
      <c r="E3" s="3"/>
      <c r="F3" s="23"/>
      <c r="G3" s="23"/>
      <c r="H3" s="23"/>
      <c r="I3" s="3"/>
      <c r="J3" s="3"/>
    </row>
    <row r="4">
      <c r="A4" s="26"/>
      <c r="B4" s="26" t="s">
        <v>42</v>
      </c>
      <c r="J4" s="3"/>
    </row>
    <row r="5">
      <c r="A5" s="26"/>
      <c r="B5" s="26" t="s">
        <v>44</v>
      </c>
      <c r="J5" s="3"/>
    </row>
    <row r="6">
      <c r="A6" s="3"/>
      <c r="B6" s="51" t="str">
        <f>"Tp. Hồ Chí Minh, ngày "&amp;day(today())&amp;" tháng "&amp;month(today())&amp;" năm "&amp;year(today())                    </f>
        <v>Tp. Hồ Chí Minh, ngày 29 tháng 9 năm 2026</v>
      </c>
      <c r="J6" s="3"/>
    </row>
    <row r="7">
      <c r="A7" s="54"/>
      <c r="B7" s="56" t="s">
        <v>78</v>
      </c>
      <c r="C7" s="3"/>
      <c r="D7" s="3"/>
      <c r="E7" s="3"/>
      <c r="F7" s="59"/>
      <c r="G7" s="59"/>
      <c r="H7" s="59"/>
      <c r="I7" s="3"/>
      <c r="J7" s="3"/>
    </row>
    <row r="8">
      <c r="A8" s="54"/>
      <c r="B8" s="56" t="s">
        <v>88</v>
      </c>
      <c r="C8" s="3"/>
      <c r="D8" s="3"/>
      <c r="E8" s="3"/>
      <c r="F8" s="59"/>
      <c r="G8" s="59"/>
      <c r="H8" s="59"/>
      <c r="I8" s="3"/>
      <c r="J8" s="3"/>
    </row>
    <row r="9">
      <c r="A9" s="54"/>
      <c r="B9" s="66" t="s">
        <v>93</v>
      </c>
      <c r="C9" s="3"/>
      <c r="D9" s="3"/>
      <c r="E9" s="3"/>
      <c r="F9" s="59"/>
      <c r="G9" s="59"/>
      <c r="H9" s="59"/>
      <c r="I9" s="3"/>
      <c r="J9" s="3"/>
    </row>
    <row r="10">
      <c r="A10" s="54"/>
      <c r="B10" s="70" t="s">
        <v>99</v>
      </c>
      <c r="C10" s="3"/>
      <c r="D10" s="3"/>
      <c r="E10" s="3"/>
      <c r="F10" s="59"/>
      <c r="G10" s="59"/>
      <c r="H10" s="59"/>
      <c r="I10" s="3"/>
      <c r="J10" s="3"/>
    </row>
    <row r="11">
      <c r="A11" s="54"/>
      <c r="B11" s="66" t="s">
        <v>104</v>
      </c>
      <c r="C11" s="3"/>
      <c r="D11" s="3"/>
      <c r="E11" s="75"/>
      <c r="F11" s="59"/>
      <c r="G11" s="59"/>
      <c r="H11" s="59"/>
      <c r="I11" s="3"/>
      <c r="J11" s="3"/>
    </row>
    <row r="12">
      <c r="A12" s="3"/>
      <c r="B12" s="78"/>
      <c r="C12" s="78"/>
      <c r="D12" s="78"/>
      <c r="E12" s="78"/>
      <c r="F12" s="81"/>
      <c r="G12" s="81"/>
      <c r="H12" s="81"/>
      <c r="I12" s="78"/>
      <c r="J12" s="3"/>
    </row>
    <row r="13">
      <c r="A13" s="85"/>
      <c r="B13" s="91" t="s">
        <v>126</v>
      </c>
      <c r="C13" s="95" t="s">
        <v>133</v>
      </c>
      <c r="D13" s="73"/>
      <c r="E13" s="95" t="s">
        <v>148</v>
      </c>
      <c r="F13" s="97"/>
      <c r="G13" s="97"/>
      <c r="H13" s="73"/>
      <c r="I13" s="91" t="s">
        <v>6</v>
      </c>
      <c r="J13" s="3"/>
    </row>
    <row r="14">
      <c r="A14" s="85"/>
      <c r="B14" s="100"/>
      <c r="C14" s="102" t="s">
        <v>161</v>
      </c>
      <c r="D14" s="102" t="s">
        <v>166</v>
      </c>
      <c r="E14" s="105" t="s">
        <v>168</v>
      </c>
      <c r="F14" s="107" t="s">
        <v>174</v>
      </c>
      <c r="G14" s="110" t="s">
        <v>176</v>
      </c>
      <c r="H14" s="114" t="s">
        <v>182</v>
      </c>
      <c r="I14" s="100"/>
      <c r="J14" s="3"/>
    </row>
    <row r="15" ht="49.5" customHeight="1">
      <c r="A15" s="116"/>
      <c r="B15" s="117">
        <v>46249.0</v>
      </c>
      <c r="C15" s="119" t="s">
        <v>191</v>
      </c>
      <c r="D15" s="121" t="s">
        <v>194</v>
      </c>
      <c r="E15" s="123" t="s">
        <v>197</v>
      </c>
      <c r="F15" s="125">
        <v>1.0</v>
      </c>
      <c r="G15" s="128">
        <v>80000.0</v>
      </c>
      <c r="H15" s="128">
        <f t="shared" ref="H15:H16" si="1">F15*G15</f>
        <v>80000</v>
      </c>
      <c r="I15" s="123"/>
      <c r="J15" s="3"/>
    </row>
    <row r="16" ht="49.5" customHeight="1">
      <c r="A16" s="116"/>
      <c r="B16" s="117">
        <v>46249.0</v>
      </c>
      <c r="C16" s="119" t="s">
        <v>191</v>
      </c>
      <c r="D16" s="121" t="s">
        <v>194</v>
      </c>
      <c r="E16" s="123" t="s">
        <v>207</v>
      </c>
      <c r="F16" s="125">
        <v>1.0</v>
      </c>
      <c r="G16" s="128">
        <v>80000.0</v>
      </c>
      <c r="H16" s="128">
        <f t="shared" si="1"/>
        <v>80000</v>
      </c>
      <c r="I16" s="123"/>
      <c r="J16" s="3"/>
    </row>
    <row r="17" ht="57.75" hidden="1" customHeight="1">
      <c r="A17" s="116"/>
      <c r="B17" s="117"/>
      <c r="C17" s="119"/>
      <c r="D17" s="121"/>
      <c r="E17" s="123"/>
      <c r="F17" s="125"/>
      <c r="G17" s="128"/>
      <c r="H17" s="128"/>
      <c r="I17" s="138"/>
      <c r="J17" s="3"/>
    </row>
    <row r="18" ht="57.75" hidden="1" customHeight="1">
      <c r="A18" s="116"/>
      <c r="B18" s="117"/>
      <c r="C18" s="119"/>
      <c r="D18" s="121"/>
      <c r="E18" s="123"/>
      <c r="F18" s="125"/>
      <c r="G18" s="128"/>
      <c r="H18" s="128"/>
      <c r="I18" s="138"/>
      <c r="J18" s="3"/>
    </row>
    <row r="19" ht="51.75" hidden="1" customHeight="1">
      <c r="A19" s="116"/>
      <c r="B19" s="117"/>
      <c r="C19" s="119"/>
      <c r="D19" s="142"/>
      <c r="E19" s="123"/>
      <c r="F19" s="125"/>
      <c r="G19" s="128"/>
      <c r="H19" s="144"/>
      <c r="I19" s="138"/>
      <c r="J19" s="3"/>
    </row>
    <row r="20">
      <c r="A20" s="85"/>
      <c r="B20" s="95" t="s">
        <v>221</v>
      </c>
      <c r="C20" s="97"/>
      <c r="D20" s="97"/>
      <c r="E20" s="97"/>
      <c r="F20" s="97"/>
      <c r="G20" s="73"/>
      <c r="H20" s="107">
        <f>SUM(H15:H18)</f>
        <v>160000</v>
      </c>
      <c r="I20" s="138"/>
      <c r="J20" s="3"/>
    </row>
    <row r="21">
      <c r="A21" s="3"/>
      <c r="B21" s="3"/>
      <c r="C21" s="3"/>
      <c r="D21" s="3"/>
      <c r="E21" s="3"/>
      <c r="F21" s="59"/>
      <c r="G21" s="59"/>
      <c r="H21" s="59"/>
      <c r="I21" s="3"/>
      <c r="J21" s="3"/>
    </row>
    <row r="22">
      <c r="A22" s="54"/>
      <c r="B22" s="54" t="s">
        <v>243</v>
      </c>
      <c r="C22" s="3"/>
      <c r="D22" s="163" t="str">
        <f>IFERROR(__xludf.DUMMYFUNCTION("Let(y,H20,x,Split(Regexreplace(Trim(Substitute(Substitute(Substitute(Substitute(Regexreplace(Regexreplace(Regexreplace(Regexreplace(Regexreplace(Regexreplace(Regexreplace(Regexreplace(Regexreplace(Regexreplace(Regexreplace(Regexreplace(Text(y,""000₃000₂00"&amp;"0₁000₀000""),""^[^1-9]+|0{3}.?"",),""(\d)(\d{2})"",""$1 trăm $2""),""00"",),""0(\d)"",""lẻ $1""),""15"",""mười lăm""),""10"","" mười ""),""1(\d)"",""mười $1""),""(\d)0"",""$1 mươi""),""(\d)5"",""$1 mươi lăm""),""(\d)1"",""$1 mươi mốt""),""(\d)(\d)"",""$1 "&amp;"mươi $2""),""(.+)₃(.+₂)"",""$1 nghìn, $2""),""₀"","" nghìn, ""),""₁"","" triệu, ""),""₂"","" tỷ, ""),""₃"","" nghìn tỷ, ""))&amp;"","","",+$"","" đồng.""),"" ""),If(y=0,""Không đồng."",Let(z,Join("" "",Switch(x,0,""không"",1,""một"",2,""hai"",3,""ba"",4,""bốn"&amp;""",5,""năm"",6,""sáu"",7,""bảy"",8,""tám"",9,""chín"",x)),If(y&lt;0,""Âm ""&amp;z,Upper(Left(z))&amp;Regexreplace(z,""^."",)))))"),"Một trăm sáu mươi nghìn đồng.")</f>
        <v>Một trăm sáu mươi nghìn đồng.</v>
      </c>
      <c r="E22" s="3"/>
      <c r="F22" s="59"/>
      <c r="G22" s="59"/>
      <c r="H22" s="59"/>
      <c r="I22" s="3"/>
      <c r="J22" s="3"/>
    </row>
    <row r="23">
      <c r="A23" s="3"/>
      <c r="B23" s="3"/>
      <c r="C23" s="3"/>
      <c r="D23" s="3"/>
      <c r="E23" s="3"/>
      <c r="F23" s="59"/>
      <c r="G23" s="59"/>
      <c r="H23" s="59"/>
      <c r="I23" s="3"/>
      <c r="J23" s="3"/>
    </row>
    <row r="24">
      <c r="A24" s="3"/>
      <c r="B24" s="3"/>
      <c r="C24" s="3"/>
      <c r="D24" s="3"/>
      <c r="E24" s="3"/>
      <c r="F24" s="166"/>
      <c r="I24" s="3"/>
      <c r="J24" s="3"/>
    </row>
    <row r="25">
      <c r="A25" s="167"/>
      <c r="B25" s="167" t="s">
        <v>257</v>
      </c>
      <c r="E25" s="3"/>
      <c r="F25" s="169" t="s">
        <v>258</v>
      </c>
      <c r="I25" s="3"/>
      <c r="J25" s="3"/>
    </row>
    <row r="26">
      <c r="A26" s="167"/>
      <c r="B26" s="167"/>
      <c r="E26" s="3"/>
      <c r="F26" s="172"/>
      <c r="I26" s="3"/>
      <c r="J26" s="174"/>
    </row>
    <row r="27">
      <c r="A27" s="3"/>
      <c r="B27" s="3"/>
      <c r="C27" s="3"/>
      <c r="D27" s="3"/>
      <c r="E27" s="3"/>
      <c r="F27" s="59"/>
      <c r="G27" s="59"/>
      <c r="H27" s="59"/>
      <c r="I27" s="3"/>
      <c r="J27" s="3"/>
    </row>
    <row r="28">
      <c r="A28" s="3"/>
      <c r="B28" s="3"/>
      <c r="C28" s="3"/>
      <c r="D28" s="3"/>
      <c r="E28" s="3"/>
      <c r="F28" s="59"/>
      <c r="G28" s="59"/>
      <c r="H28" s="59"/>
      <c r="I28" s="3"/>
      <c r="J28" s="3"/>
    </row>
    <row r="29">
      <c r="A29" s="3"/>
      <c r="B29" s="3"/>
      <c r="C29" s="3"/>
      <c r="D29" s="3"/>
      <c r="E29" s="3"/>
      <c r="F29" s="59"/>
      <c r="G29" s="59"/>
      <c r="H29" s="59"/>
      <c r="I29" s="3"/>
      <c r="J29" s="3"/>
    </row>
    <row r="30">
      <c r="A30" s="3"/>
      <c r="B30" s="3"/>
      <c r="C30" s="3"/>
      <c r="D30" s="3"/>
      <c r="E30" s="3"/>
      <c r="F30" s="59"/>
      <c r="G30" s="59"/>
      <c r="H30" s="59"/>
      <c r="I30" s="3"/>
      <c r="J30" s="3"/>
    </row>
    <row r="31">
      <c r="A31" s="3"/>
      <c r="B31" s="3"/>
      <c r="C31" s="3"/>
      <c r="D31" s="3"/>
      <c r="E31" s="3"/>
      <c r="F31" s="184"/>
      <c r="G31" s="184"/>
      <c r="H31" s="184"/>
      <c r="I31" s="3"/>
      <c r="J31" s="3"/>
    </row>
    <row r="32">
      <c r="A32" s="85"/>
      <c r="B32" s="186" t="s">
        <v>83</v>
      </c>
      <c r="E32" s="3"/>
      <c r="F32" s="187" t="s">
        <v>268</v>
      </c>
      <c r="I32" s="3"/>
      <c r="J32" s="3"/>
    </row>
    <row r="33">
      <c r="A33" s="3"/>
      <c r="B33" s="3"/>
      <c r="C33" s="3"/>
      <c r="D33" s="3"/>
      <c r="E33" s="3"/>
      <c r="F33" s="59"/>
      <c r="G33" s="59"/>
      <c r="H33" s="59"/>
      <c r="I33" s="3"/>
      <c r="J33" s="3"/>
    </row>
    <row r="34">
      <c r="A34" s="190"/>
      <c r="B34" s="190" t="s">
        <v>270</v>
      </c>
      <c r="C34" s="3"/>
      <c r="D34" s="3"/>
      <c r="E34" s="3"/>
      <c r="F34" s="59"/>
      <c r="G34" s="59"/>
      <c r="H34" s="59"/>
      <c r="I34" s="3"/>
      <c r="J34" s="3"/>
    </row>
    <row r="35" ht="18.75" customHeight="1">
      <c r="A35" s="193"/>
      <c r="B35" s="193" t="s">
        <v>274</v>
      </c>
      <c r="J35" s="3"/>
    </row>
    <row r="36" ht="21.0" customHeight="1">
      <c r="A36" s="193"/>
      <c r="J36" s="3"/>
    </row>
    <row r="37">
      <c r="A37" s="3"/>
      <c r="B37" s="3"/>
      <c r="C37" s="3"/>
      <c r="D37" s="3"/>
      <c r="E37" s="3"/>
      <c r="F37" s="59"/>
      <c r="G37" s="59"/>
      <c r="H37" s="59"/>
      <c r="I37" s="3"/>
      <c r="J37" s="3"/>
    </row>
  </sheetData>
  <mergeCells count="18">
    <mergeCell ref="E13:H13"/>
    <mergeCell ref="I13:I14"/>
    <mergeCell ref="F1:H1"/>
    <mergeCell ref="F2:H2"/>
    <mergeCell ref="B4:I4"/>
    <mergeCell ref="B5:I5"/>
    <mergeCell ref="B6:I6"/>
    <mergeCell ref="B13:B14"/>
    <mergeCell ref="C13:D13"/>
    <mergeCell ref="F32:H32"/>
    <mergeCell ref="B35:I36"/>
    <mergeCell ref="B20:G20"/>
    <mergeCell ref="F24:H24"/>
    <mergeCell ref="B25:D25"/>
    <mergeCell ref="F25:H25"/>
    <mergeCell ref="B26:D26"/>
    <mergeCell ref="F26:H26"/>
    <mergeCell ref="B32:D32"/>
  </mergeCells>
  <printOptions/>
  <pageMargins bottom="0.75" footer="0.0" header="0.0" left="0.25" right="0.25" top="0.75"/>
  <pageSetup fitToHeight="0"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fitToPage="1"/>
  </sheetPr>
  <sheetViews>
    <sheetView showGridLines="0" workbookViewId="0"/>
  </sheetViews>
  <sheetFormatPr customHeight="1" defaultColWidth="12.63" defaultRowHeight="15.75"/>
  <cols>
    <col customWidth="1" min="1" max="1" width="4.38"/>
    <col customWidth="1" min="2" max="7" width="20.38"/>
    <col customWidth="1" min="8" max="8" width="2.5"/>
  </cols>
  <sheetData>
    <row r="1" ht="29.25" customHeight="1">
      <c r="A1" s="215"/>
      <c r="B1" s="216" t="s">
        <v>280</v>
      </c>
      <c r="C1" s="218"/>
      <c r="D1" s="220"/>
      <c r="E1" s="220"/>
      <c r="F1" s="221"/>
      <c r="G1" s="220"/>
      <c r="H1" s="220"/>
    </row>
    <row r="2" ht="15.75" customHeight="1">
      <c r="A2" s="222"/>
      <c r="B2" s="222"/>
      <c r="C2" s="222"/>
      <c r="D2" s="222"/>
      <c r="E2" s="222"/>
      <c r="F2" s="224"/>
      <c r="G2" s="222"/>
      <c r="H2" s="222"/>
    </row>
    <row r="3" ht="15.75" customHeight="1">
      <c r="A3" s="222"/>
      <c r="B3" s="222"/>
      <c r="C3" s="222"/>
      <c r="D3" s="222"/>
      <c r="E3" s="222"/>
      <c r="F3" s="226" t="s">
        <v>285</v>
      </c>
      <c r="H3" s="222"/>
    </row>
    <row r="4" ht="15.75" customHeight="1">
      <c r="A4" s="222"/>
      <c r="B4" s="222"/>
      <c r="C4" s="222"/>
      <c r="D4" s="222"/>
      <c r="E4" s="222"/>
      <c r="F4" s="226"/>
      <c r="H4" s="222"/>
    </row>
    <row r="5" ht="20.25" customHeight="1">
      <c r="A5" s="222"/>
      <c r="B5" s="222"/>
      <c r="C5" s="222"/>
      <c r="D5" s="229" t="s">
        <v>288</v>
      </c>
      <c r="E5" s="231"/>
      <c r="H5" s="222"/>
    </row>
    <row r="6" ht="20.25" customHeight="1">
      <c r="A6" s="222"/>
      <c r="B6" s="222"/>
      <c r="C6" s="222"/>
      <c r="D6" s="231" t="s">
        <v>290</v>
      </c>
      <c r="E6" s="231"/>
      <c r="F6" s="231"/>
      <c r="G6" s="233"/>
      <c r="H6" s="222"/>
    </row>
    <row r="7" ht="47.25" customHeight="1">
      <c r="A7" s="234"/>
      <c r="B7" s="235" t="s">
        <v>291</v>
      </c>
      <c r="H7" s="222"/>
    </row>
    <row r="8" ht="19.5" customHeight="1">
      <c r="A8" s="236"/>
      <c r="B8" s="237" t="str">
        <f>"Ngày           tháng          năm "</f>
        <v>Ngày           tháng          năm </v>
      </c>
      <c r="H8" s="222"/>
    </row>
    <row r="9" ht="33.0" customHeight="1">
      <c r="A9" s="222"/>
      <c r="B9" s="233" t="s">
        <v>293</v>
      </c>
      <c r="C9" s="238" t="s">
        <v>294</v>
      </c>
      <c r="D9" s="239"/>
      <c r="E9" s="239"/>
      <c r="F9" s="239"/>
      <c r="G9" s="239" t="s">
        <v>295</v>
      </c>
      <c r="H9" s="222"/>
    </row>
    <row r="10" ht="33.0" customHeight="1">
      <c r="A10" s="222"/>
      <c r="B10" s="233" t="s">
        <v>296</v>
      </c>
      <c r="C10" s="233"/>
      <c r="D10" s="233"/>
      <c r="E10" s="239"/>
      <c r="F10" s="239"/>
      <c r="G10" s="239"/>
      <c r="H10" s="222"/>
    </row>
    <row r="11" ht="33.0" customHeight="1">
      <c r="A11" s="240" t="s">
        <v>297</v>
      </c>
      <c r="B11" s="233" t="s">
        <v>299</v>
      </c>
      <c r="C11" s="233"/>
      <c r="D11" s="241"/>
      <c r="E11" s="242"/>
      <c r="F11" s="242"/>
      <c r="G11" s="242"/>
      <c r="H11" s="222"/>
    </row>
    <row r="12" ht="33.0" customHeight="1">
      <c r="A12" s="222"/>
      <c r="B12" s="233" t="s">
        <v>300</v>
      </c>
      <c r="C12" s="233"/>
      <c r="D12" s="241"/>
      <c r="E12" s="242"/>
      <c r="F12" s="242"/>
      <c r="G12" s="242"/>
      <c r="H12" s="222"/>
    </row>
    <row r="13" ht="33.0" customHeight="1">
      <c r="A13" s="222"/>
      <c r="B13" s="229" t="s">
        <v>302</v>
      </c>
      <c r="C13" s="233"/>
      <c r="D13" s="245"/>
      <c r="E13" s="245"/>
      <c r="F13" s="82"/>
      <c r="G13" s="82"/>
      <c r="H13" s="222"/>
    </row>
    <row r="14" ht="33.0" customHeight="1">
      <c r="A14" s="222"/>
      <c r="B14" s="233" t="s">
        <v>303</v>
      </c>
      <c r="C14" s="246"/>
      <c r="D14" s="82"/>
      <c r="E14" s="246"/>
      <c r="F14" s="239"/>
      <c r="G14" s="239"/>
      <c r="H14" s="222"/>
    </row>
    <row r="15" ht="33.0" customHeight="1">
      <c r="A15" s="222"/>
      <c r="B15" s="233" t="s">
        <v>304</v>
      </c>
      <c r="C15" s="239"/>
      <c r="D15" s="239"/>
      <c r="E15" s="249"/>
      <c r="F15" s="249"/>
      <c r="G15" s="249"/>
      <c r="H15" s="222"/>
    </row>
    <row r="16" ht="33.0" customHeight="1">
      <c r="A16" s="233"/>
      <c r="B16" s="233" t="s">
        <v>306</v>
      </c>
      <c r="C16" s="239"/>
      <c r="D16" s="239"/>
      <c r="E16" s="239"/>
      <c r="F16" s="239"/>
      <c r="G16" s="249"/>
      <c r="H16" s="222"/>
    </row>
    <row r="17" ht="33.0" customHeight="1">
      <c r="A17" s="222"/>
      <c r="B17" s="233" t="s">
        <v>307</v>
      </c>
      <c r="C17" s="239"/>
      <c r="D17" s="239"/>
      <c r="E17" s="239"/>
      <c r="F17" s="239"/>
      <c r="G17" s="239"/>
      <c r="H17" s="222"/>
    </row>
    <row r="18" ht="33.0" customHeight="1">
      <c r="A18" s="222"/>
      <c r="B18" s="233" t="s">
        <v>309</v>
      </c>
      <c r="C18" s="239"/>
      <c r="D18" s="254"/>
      <c r="E18" s="82"/>
      <c r="F18" s="82"/>
      <c r="G18" s="82"/>
      <c r="H18" s="222"/>
    </row>
    <row r="19">
      <c r="A19" s="222"/>
      <c r="B19" s="222"/>
      <c r="C19" s="222"/>
      <c r="D19" s="240"/>
      <c r="E19" s="222"/>
      <c r="F19" s="222"/>
      <c r="G19" s="222"/>
      <c r="H19" s="222"/>
    </row>
    <row r="20" ht="23.25" customHeight="1">
      <c r="A20" s="222"/>
      <c r="B20" s="222"/>
      <c r="C20" s="222"/>
      <c r="D20" s="222"/>
      <c r="E20" s="222"/>
      <c r="F20" s="222"/>
      <c r="G20" s="222"/>
      <c r="H20" s="222"/>
    </row>
    <row r="21" ht="22.5" customHeight="1">
      <c r="A21" s="222"/>
      <c r="B21" s="234" t="s">
        <v>310</v>
      </c>
      <c r="D21" s="261" t="s">
        <v>312</v>
      </c>
      <c r="F21" s="234" t="s">
        <v>313</v>
      </c>
      <c r="H21" s="226"/>
    </row>
    <row r="22" ht="22.5" customHeight="1">
      <c r="A22" s="222"/>
      <c r="B22" s="234"/>
      <c r="D22" s="261"/>
      <c r="F22" s="234"/>
      <c r="H22" s="226"/>
    </row>
    <row r="23" ht="22.5" customHeight="1">
      <c r="A23" s="222"/>
      <c r="B23" s="234" t="s">
        <v>295</v>
      </c>
      <c r="D23" s="261"/>
      <c r="F23" s="234"/>
      <c r="H23" s="226"/>
    </row>
    <row r="24" ht="22.5" customHeight="1">
      <c r="A24" s="222"/>
      <c r="B24" s="234"/>
      <c r="C24" s="234"/>
      <c r="D24" s="261"/>
      <c r="E24" s="261"/>
      <c r="F24" s="234"/>
      <c r="G24" s="234"/>
      <c r="H24" s="226"/>
    </row>
    <row r="25" ht="22.5" customHeight="1">
      <c r="A25" s="222"/>
      <c r="B25" s="234"/>
      <c r="D25" s="261"/>
      <c r="F25" s="234"/>
      <c r="H25" s="226"/>
    </row>
    <row r="26" ht="22.5" customHeight="1">
      <c r="A26" s="222"/>
      <c r="B26" s="234" t="str">
        <f>$E$10</f>
        <v/>
      </c>
      <c r="D26" s="261" t="s">
        <v>318</v>
      </c>
      <c r="F26" s="234" t="s">
        <v>319</v>
      </c>
      <c r="H26" s="226"/>
    </row>
    <row r="27" ht="22.5" customHeight="1">
      <c r="A27" s="222"/>
      <c r="B27" s="234"/>
      <c r="D27" s="261"/>
      <c r="F27" s="234"/>
      <c r="H27" s="226"/>
    </row>
    <row r="28" ht="22.5" customHeight="1">
      <c r="A28" s="222"/>
      <c r="B28" s="234"/>
      <c r="D28" s="261" t="s">
        <v>320</v>
      </c>
      <c r="F28" s="234"/>
      <c r="H28" s="226"/>
    </row>
    <row r="29" ht="22.5" customHeight="1">
      <c r="A29" s="222"/>
      <c r="B29" s="234"/>
      <c r="D29" s="261"/>
      <c r="F29" s="234"/>
      <c r="H29" s="226"/>
    </row>
    <row r="30" ht="22.5" customHeight="1">
      <c r="A30" s="222"/>
      <c r="B30" s="234"/>
      <c r="D30" s="261"/>
      <c r="F30" s="234"/>
      <c r="H30" s="226"/>
    </row>
    <row r="31" ht="22.5" customHeight="1">
      <c r="A31" s="222"/>
      <c r="B31" s="234"/>
      <c r="D31" s="261"/>
      <c r="F31" s="234"/>
      <c r="H31" s="226"/>
    </row>
    <row r="32" ht="22.5" customHeight="1">
      <c r="A32" s="222"/>
      <c r="B32" s="234"/>
      <c r="D32" s="261"/>
      <c r="F32" s="234"/>
      <c r="H32" s="226"/>
    </row>
    <row r="33" ht="22.5" customHeight="1">
      <c r="A33" s="222"/>
      <c r="B33" s="234"/>
      <c r="D33" s="261" t="s">
        <v>324</v>
      </c>
      <c r="F33" s="234"/>
      <c r="H33" s="226"/>
    </row>
    <row r="34" ht="22.5" customHeight="1">
      <c r="A34" s="222"/>
      <c r="B34" s="234"/>
      <c r="D34" s="261"/>
      <c r="F34" s="234"/>
      <c r="H34" s="226"/>
    </row>
    <row r="35" ht="15.75" customHeight="1">
      <c r="A35" s="276"/>
      <c r="B35" s="276"/>
      <c r="C35" s="276"/>
      <c r="D35" s="276"/>
      <c r="E35" s="276"/>
      <c r="F35" s="276"/>
      <c r="G35" s="276"/>
      <c r="H35" s="278"/>
    </row>
  </sheetData>
  <mergeCells count="49">
    <mergeCell ref="D32:E32"/>
    <mergeCell ref="F32:G32"/>
    <mergeCell ref="B33:C33"/>
    <mergeCell ref="D33:E33"/>
    <mergeCell ref="F33:G33"/>
    <mergeCell ref="B34:C34"/>
    <mergeCell ref="D34:E34"/>
    <mergeCell ref="F34:G34"/>
    <mergeCell ref="B30:C30"/>
    <mergeCell ref="D30:E30"/>
    <mergeCell ref="F30:G30"/>
    <mergeCell ref="B31:C31"/>
    <mergeCell ref="D31:E31"/>
    <mergeCell ref="F31:G31"/>
    <mergeCell ref="B32:C32"/>
    <mergeCell ref="F3:G3"/>
    <mergeCell ref="F4:G4"/>
    <mergeCell ref="E5:G5"/>
    <mergeCell ref="B7:G7"/>
    <mergeCell ref="B8:G8"/>
    <mergeCell ref="D11:G11"/>
    <mergeCell ref="D12:G12"/>
    <mergeCell ref="D22:E22"/>
    <mergeCell ref="F22:G22"/>
    <mergeCell ref="E13:G13"/>
    <mergeCell ref="C14:D14"/>
    <mergeCell ref="D18:G18"/>
    <mergeCell ref="B21:C21"/>
    <mergeCell ref="D21:E21"/>
    <mergeCell ref="F21:G21"/>
    <mergeCell ref="B22:C22"/>
    <mergeCell ref="D26:E26"/>
    <mergeCell ref="F26:G26"/>
    <mergeCell ref="B23:C23"/>
    <mergeCell ref="D23:E23"/>
    <mergeCell ref="F23:G23"/>
    <mergeCell ref="B25:C25"/>
    <mergeCell ref="D25:E25"/>
    <mergeCell ref="F25:G25"/>
    <mergeCell ref="B26:C26"/>
    <mergeCell ref="D29:E29"/>
    <mergeCell ref="F29:G29"/>
    <mergeCell ref="B27:C27"/>
    <mergeCell ref="D27:E27"/>
    <mergeCell ref="F27:G27"/>
    <mergeCell ref="B28:C28"/>
    <mergeCell ref="D28:E28"/>
    <mergeCell ref="F28:G28"/>
    <mergeCell ref="B29:C29"/>
  </mergeCells>
  <printOptions/>
  <pageMargins bottom="0.75" footer="0.0" header="0.0" left="0.11811023622047244" right="0.11811023622047244" top="0.39370078740157477"/>
  <pageSetup fitToHeight="0" paperSize="9" orientation="portrait"/>
  <drawing r:id="rId1"/>
</worksheet>
</file>